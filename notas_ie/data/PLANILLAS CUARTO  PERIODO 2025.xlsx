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2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Bots\Bot Tanteo\XLSX\"/>
    </mc:Choice>
  </mc:AlternateContent>
  <xr:revisionPtr revIDLastSave="0" documentId="13_ncr:1_{A0D548C9-ECE8-43F7-A65C-06A9CDF3FC0F}" xr6:coauthVersionLast="47" xr6:coauthVersionMax="47" xr10:uidLastSave="{00000000-0000-0000-0000-000000000000}"/>
  <bookViews>
    <workbookView xWindow="-120" yWindow="-120" windowWidth="20730" windowHeight="11310" activeTab="4" xr2:uid="{00000000-000D-0000-FFFF-FFFF00000000}"/>
  </bookViews>
  <sheets>
    <sheet name="11°" sheetId="3" r:id="rId1"/>
    <sheet name="10°" sheetId="4" r:id="rId2"/>
    <sheet name="9°" sheetId="5" r:id="rId3"/>
    <sheet name="8°" sheetId="6" r:id="rId4"/>
    <sheet name="7°" sheetId="7" r:id="rId5"/>
    <sheet name="6°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33" i="7" l="1"/>
  <c r="M333" i="7"/>
  <c r="J333" i="7"/>
  <c r="V333" i="7" s="1"/>
  <c r="R333" i="7" s="1"/>
  <c r="P332" i="7"/>
  <c r="M332" i="7"/>
  <c r="J332" i="7"/>
  <c r="P331" i="7"/>
  <c r="M331" i="7"/>
  <c r="J331" i="7"/>
  <c r="P330" i="7"/>
  <c r="M330" i="7"/>
  <c r="J330" i="7"/>
  <c r="P329" i="7"/>
  <c r="M329" i="7"/>
  <c r="J329" i="7"/>
  <c r="V329" i="7" s="1"/>
  <c r="R329" i="7" s="1"/>
  <c r="P328" i="7"/>
  <c r="M328" i="7"/>
  <c r="J328" i="7"/>
  <c r="P327" i="7"/>
  <c r="M327" i="7"/>
  <c r="J327" i="7"/>
  <c r="P326" i="7"/>
  <c r="M326" i="7"/>
  <c r="J326" i="7"/>
  <c r="P325" i="7"/>
  <c r="M325" i="7"/>
  <c r="J325" i="7"/>
  <c r="V325" i="7" s="1"/>
  <c r="R325" i="7" s="1"/>
  <c r="P324" i="7"/>
  <c r="M324" i="7"/>
  <c r="J324" i="7"/>
  <c r="P323" i="7"/>
  <c r="M323" i="7"/>
  <c r="J323" i="7"/>
  <c r="P322" i="7"/>
  <c r="M322" i="7"/>
  <c r="J322" i="7"/>
  <c r="P321" i="7"/>
  <c r="M321" i="7"/>
  <c r="J321" i="7"/>
  <c r="V321" i="7" s="1"/>
  <c r="R321" i="7" s="1"/>
  <c r="P320" i="7"/>
  <c r="M320" i="7"/>
  <c r="J320" i="7"/>
  <c r="P319" i="7"/>
  <c r="M319" i="7"/>
  <c r="J319" i="7"/>
  <c r="P318" i="7"/>
  <c r="M318" i="7"/>
  <c r="J318" i="7"/>
  <c r="P317" i="7"/>
  <c r="M317" i="7"/>
  <c r="J317" i="7"/>
  <c r="V317" i="7" s="1"/>
  <c r="R317" i="7" s="1"/>
  <c r="P316" i="7"/>
  <c r="M316" i="7"/>
  <c r="J316" i="7"/>
  <c r="P315" i="7"/>
  <c r="M315" i="7"/>
  <c r="J315" i="7"/>
  <c r="P314" i="7"/>
  <c r="M314" i="7"/>
  <c r="J314" i="7"/>
  <c r="P313" i="7"/>
  <c r="M313" i="7"/>
  <c r="J313" i="7"/>
  <c r="V313" i="7" s="1"/>
  <c r="R313" i="7" s="1"/>
  <c r="P312" i="7"/>
  <c r="M312" i="7"/>
  <c r="J312" i="7"/>
  <c r="P311" i="7"/>
  <c r="M311" i="7"/>
  <c r="J311" i="7"/>
  <c r="P310" i="7"/>
  <c r="M310" i="7"/>
  <c r="J310" i="7"/>
  <c r="P309" i="7"/>
  <c r="M309" i="7"/>
  <c r="J309" i="7"/>
  <c r="V309" i="7" s="1"/>
  <c r="R309" i="7" s="1"/>
  <c r="P308" i="7"/>
  <c r="M308" i="7"/>
  <c r="J308" i="7"/>
  <c r="P307" i="7"/>
  <c r="M307" i="7"/>
  <c r="J307" i="7"/>
  <c r="P306" i="7"/>
  <c r="M306" i="7"/>
  <c r="J306" i="7"/>
  <c r="P305" i="7"/>
  <c r="M305" i="7"/>
  <c r="J305" i="7"/>
  <c r="V305" i="7" s="1"/>
  <c r="R305" i="7" s="1"/>
  <c r="P304" i="7"/>
  <c r="M304" i="7"/>
  <c r="J304" i="7"/>
  <c r="P303" i="7"/>
  <c r="M303" i="7"/>
  <c r="J303" i="7"/>
  <c r="P302" i="7"/>
  <c r="M302" i="7"/>
  <c r="J302" i="7"/>
  <c r="P301" i="7"/>
  <c r="M301" i="7"/>
  <c r="J301" i="7"/>
  <c r="V301" i="7" s="1"/>
  <c r="R301" i="7" s="1"/>
  <c r="P300" i="7"/>
  <c r="M300" i="7"/>
  <c r="J300" i="7"/>
  <c r="P299" i="7"/>
  <c r="M299" i="7"/>
  <c r="J299" i="7"/>
  <c r="P298" i="7"/>
  <c r="M298" i="7"/>
  <c r="J298" i="7"/>
  <c r="P297" i="7"/>
  <c r="M297" i="7"/>
  <c r="J297" i="7"/>
  <c r="V297" i="7" s="1"/>
  <c r="R297" i="7" s="1"/>
  <c r="P296" i="7"/>
  <c r="M296" i="7"/>
  <c r="J296" i="7"/>
  <c r="P295" i="7"/>
  <c r="M295" i="7"/>
  <c r="J295" i="7"/>
  <c r="P294" i="7"/>
  <c r="M294" i="7"/>
  <c r="J294" i="7"/>
  <c r="P293" i="7"/>
  <c r="M293" i="7"/>
  <c r="J293" i="7"/>
  <c r="V293" i="7" s="1"/>
  <c r="R293" i="7" s="1"/>
  <c r="P292" i="7"/>
  <c r="M292" i="7"/>
  <c r="J292" i="7"/>
  <c r="P291" i="7"/>
  <c r="M291" i="7"/>
  <c r="J291" i="7"/>
  <c r="P290" i="7"/>
  <c r="M290" i="7"/>
  <c r="J290" i="7"/>
  <c r="P289" i="7"/>
  <c r="M289" i="7"/>
  <c r="J289" i="7"/>
  <c r="P288" i="7"/>
  <c r="M288" i="7"/>
  <c r="J288" i="7"/>
  <c r="V288" i="7" l="1"/>
  <c r="R288" i="7" s="1"/>
  <c r="V290" i="7"/>
  <c r="R290" i="7" s="1"/>
  <c r="V294" i="7"/>
  <c r="R294" i="7" s="1"/>
  <c r="V298" i="7"/>
  <c r="R298" i="7" s="1"/>
  <c r="V302" i="7"/>
  <c r="R302" i="7" s="1"/>
  <c r="V306" i="7"/>
  <c r="R306" i="7" s="1"/>
  <c r="V310" i="7"/>
  <c r="R310" i="7" s="1"/>
  <c r="V314" i="7"/>
  <c r="R314" i="7" s="1"/>
  <c r="V318" i="7"/>
  <c r="R318" i="7" s="1"/>
  <c r="V322" i="7"/>
  <c r="R322" i="7" s="1"/>
  <c r="V326" i="7"/>
  <c r="R326" i="7" s="1"/>
  <c r="V330" i="7"/>
  <c r="R330" i="7" s="1"/>
  <c r="V292" i="7"/>
  <c r="R292" i="7" s="1"/>
  <c r="V296" i="7"/>
  <c r="R296" i="7" s="1"/>
  <c r="V300" i="7"/>
  <c r="R300" i="7" s="1"/>
  <c r="V304" i="7"/>
  <c r="R304" i="7" s="1"/>
  <c r="V308" i="7"/>
  <c r="R308" i="7" s="1"/>
  <c r="V312" i="7"/>
  <c r="R312" i="7" s="1"/>
  <c r="V316" i="7"/>
  <c r="R316" i="7" s="1"/>
  <c r="V320" i="7"/>
  <c r="R320" i="7" s="1"/>
  <c r="V324" i="7"/>
  <c r="R324" i="7" s="1"/>
  <c r="V328" i="7"/>
  <c r="R328" i="7" s="1"/>
  <c r="V332" i="7"/>
  <c r="R332" i="7" s="1"/>
  <c r="V289" i="7"/>
  <c r="R289" i="7" s="1"/>
  <c r="V291" i="7"/>
  <c r="R291" i="7" s="1"/>
  <c r="V295" i="7"/>
  <c r="R295" i="7" s="1"/>
  <c r="V299" i="7"/>
  <c r="R299" i="7" s="1"/>
  <c r="V303" i="7"/>
  <c r="R303" i="7" s="1"/>
  <c r="V307" i="7"/>
  <c r="R307" i="7" s="1"/>
  <c r="V311" i="7"/>
  <c r="R311" i="7" s="1"/>
  <c r="V315" i="7"/>
  <c r="R315" i="7" s="1"/>
  <c r="V319" i="7"/>
  <c r="R319" i="7" s="1"/>
  <c r="V323" i="7"/>
  <c r="R323" i="7" s="1"/>
  <c r="V327" i="7"/>
  <c r="R327" i="7" s="1"/>
  <c r="V331" i="7"/>
  <c r="R331" i="7" s="1"/>
  <c r="B155" i="8"/>
  <c r="J61" i="3"/>
  <c r="J6" i="6"/>
  <c r="J50" i="4"/>
  <c r="J51" i="4"/>
  <c r="J6" i="5"/>
  <c r="J210" i="6"/>
  <c r="P6" i="7"/>
  <c r="J6" i="7"/>
  <c r="M6" i="8"/>
  <c r="J58" i="8"/>
  <c r="P103" i="8"/>
  <c r="M103" i="8"/>
  <c r="J103" i="8"/>
  <c r="P102" i="8"/>
  <c r="M102" i="8"/>
  <c r="J102" i="8"/>
  <c r="P101" i="8"/>
  <c r="M101" i="8"/>
  <c r="J101" i="8"/>
  <c r="P100" i="8"/>
  <c r="M100" i="8"/>
  <c r="J100" i="8"/>
  <c r="P99" i="8"/>
  <c r="M99" i="8"/>
  <c r="J99" i="8"/>
  <c r="P98" i="8"/>
  <c r="M98" i="8"/>
  <c r="J98" i="8"/>
  <c r="P97" i="8"/>
  <c r="M97" i="8"/>
  <c r="J97" i="8"/>
  <c r="P96" i="8"/>
  <c r="M96" i="8"/>
  <c r="J96" i="8"/>
  <c r="P95" i="8"/>
  <c r="M95" i="8"/>
  <c r="J95" i="8"/>
  <c r="P94" i="8"/>
  <c r="M94" i="8"/>
  <c r="J94" i="8"/>
  <c r="P93" i="8"/>
  <c r="M93" i="8"/>
  <c r="J93" i="8"/>
  <c r="V93" i="8" s="1"/>
  <c r="R93" i="8" s="1"/>
  <c r="P92" i="8"/>
  <c r="M92" i="8"/>
  <c r="J92" i="8"/>
  <c r="P91" i="8"/>
  <c r="M91" i="8"/>
  <c r="J91" i="8"/>
  <c r="P90" i="8"/>
  <c r="M90" i="8"/>
  <c r="J90" i="8"/>
  <c r="V90" i="8" s="1"/>
  <c r="R90" i="8" s="1"/>
  <c r="P89" i="8"/>
  <c r="V89" i="8" s="1"/>
  <c r="R89" i="8" s="1"/>
  <c r="M89" i="8"/>
  <c r="J89" i="8"/>
  <c r="P88" i="8"/>
  <c r="M88" i="8"/>
  <c r="J88" i="8"/>
  <c r="P87" i="8"/>
  <c r="M87" i="8"/>
  <c r="J87" i="8"/>
  <c r="P86" i="8"/>
  <c r="M86" i="8"/>
  <c r="J86" i="8"/>
  <c r="P85" i="8"/>
  <c r="M85" i="8"/>
  <c r="J85" i="8"/>
  <c r="V85" i="8" s="1"/>
  <c r="R85" i="8" s="1"/>
  <c r="P84" i="8"/>
  <c r="M84" i="8"/>
  <c r="J84" i="8"/>
  <c r="P83" i="8"/>
  <c r="M83" i="8"/>
  <c r="J83" i="8"/>
  <c r="P82" i="8"/>
  <c r="M82" i="8"/>
  <c r="J82" i="8"/>
  <c r="P81" i="8"/>
  <c r="M81" i="8"/>
  <c r="J81" i="8"/>
  <c r="P80" i="8"/>
  <c r="M80" i="8"/>
  <c r="J80" i="8"/>
  <c r="P79" i="8"/>
  <c r="M79" i="8"/>
  <c r="J79" i="8"/>
  <c r="P78" i="8"/>
  <c r="M78" i="8"/>
  <c r="J78" i="8"/>
  <c r="P77" i="8"/>
  <c r="M77" i="8"/>
  <c r="J77" i="8"/>
  <c r="V77" i="8" s="1"/>
  <c r="R77" i="8" s="1"/>
  <c r="P76" i="8"/>
  <c r="M76" i="8"/>
  <c r="J76" i="8"/>
  <c r="P75" i="8"/>
  <c r="M75" i="8"/>
  <c r="J75" i="8"/>
  <c r="P74" i="8"/>
  <c r="M74" i="8"/>
  <c r="J74" i="8"/>
  <c r="P73" i="8"/>
  <c r="M73" i="8"/>
  <c r="J73" i="8"/>
  <c r="P72" i="8"/>
  <c r="M72" i="8"/>
  <c r="J72" i="8"/>
  <c r="P71" i="8"/>
  <c r="M71" i="8"/>
  <c r="J71" i="8"/>
  <c r="P70" i="8"/>
  <c r="M70" i="8"/>
  <c r="J70" i="8"/>
  <c r="P69" i="8"/>
  <c r="M69" i="8"/>
  <c r="J69" i="8"/>
  <c r="P68" i="8"/>
  <c r="M68" i="8"/>
  <c r="J68" i="8"/>
  <c r="P67" i="8"/>
  <c r="M67" i="8"/>
  <c r="J67" i="8"/>
  <c r="P66" i="8"/>
  <c r="M66" i="8"/>
  <c r="J66" i="8"/>
  <c r="P65" i="8"/>
  <c r="M65" i="8"/>
  <c r="J65" i="8"/>
  <c r="P64" i="8"/>
  <c r="M64" i="8"/>
  <c r="J64" i="8"/>
  <c r="P63" i="8"/>
  <c r="M63" i="8"/>
  <c r="J63" i="8"/>
  <c r="P62" i="8"/>
  <c r="M62" i="8"/>
  <c r="J62" i="8"/>
  <c r="P61" i="8"/>
  <c r="M61" i="8"/>
  <c r="J61" i="8"/>
  <c r="P60" i="8"/>
  <c r="M60" i="8"/>
  <c r="J60" i="8"/>
  <c r="P59" i="8"/>
  <c r="M59" i="8"/>
  <c r="J59" i="8"/>
  <c r="P58" i="8"/>
  <c r="M58" i="8"/>
  <c r="M49" i="8"/>
  <c r="P384" i="8"/>
  <c r="M384" i="8"/>
  <c r="J384" i="8"/>
  <c r="P383" i="8"/>
  <c r="M383" i="8"/>
  <c r="J383" i="8"/>
  <c r="P382" i="8"/>
  <c r="M382" i="8"/>
  <c r="J382" i="8"/>
  <c r="P381" i="8"/>
  <c r="M381" i="8"/>
  <c r="J381" i="8"/>
  <c r="P380" i="8"/>
  <c r="M380" i="8"/>
  <c r="J380" i="8"/>
  <c r="P379" i="8"/>
  <c r="M379" i="8"/>
  <c r="J379" i="8"/>
  <c r="P378" i="8"/>
  <c r="M378" i="8"/>
  <c r="J378" i="8"/>
  <c r="P377" i="8"/>
  <c r="M377" i="8"/>
  <c r="J377" i="8"/>
  <c r="P376" i="8"/>
  <c r="M376" i="8"/>
  <c r="J376" i="8"/>
  <c r="P375" i="8"/>
  <c r="M375" i="8"/>
  <c r="J375" i="8"/>
  <c r="V375" i="8" s="1"/>
  <c r="R375" i="8" s="1"/>
  <c r="P374" i="8"/>
  <c r="M374" i="8"/>
  <c r="J374" i="8"/>
  <c r="P373" i="8"/>
  <c r="M373" i="8"/>
  <c r="J373" i="8"/>
  <c r="P372" i="8"/>
  <c r="M372" i="8"/>
  <c r="J372" i="8"/>
  <c r="P371" i="8"/>
  <c r="M371" i="8"/>
  <c r="J371" i="8"/>
  <c r="P370" i="8"/>
  <c r="M370" i="8"/>
  <c r="J370" i="8"/>
  <c r="V370" i="8" s="1"/>
  <c r="R370" i="8" s="1"/>
  <c r="P369" i="8"/>
  <c r="M369" i="8"/>
  <c r="J369" i="8"/>
  <c r="P368" i="8"/>
  <c r="M368" i="8"/>
  <c r="J368" i="8"/>
  <c r="P367" i="8"/>
  <c r="M367" i="8"/>
  <c r="J367" i="8"/>
  <c r="V367" i="8" s="1"/>
  <c r="R367" i="8" s="1"/>
  <c r="P366" i="8"/>
  <c r="M366" i="8"/>
  <c r="J366" i="8"/>
  <c r="P365" i="8"/>
  <c r="M365" i="8"/>
  <c r="J365" i="8"/>
  <c r="P364" i="8"/>
  <c r="M364" i="8"/>
  <c r="J364" i="8"/>
  <c r="P363" i="8"/>
  <c r="M363" i="8"/>
  <c r="J363" i="8"/>
  <c r="P362" i="8"/>
  <c r="M362" i="8"/>
  <c r="J362" i="8"/>
  <c r="V362" i="8" s="1"/>
  <c r="R362" i="8" s="1"/>
  <c r="P361" i="8"/>
  <c r="M361" i="8"/>
  <c r="J361" i="8"/>
  <c r="P360" i="8"/>
  <c r="M360" i="8"/>
  <c r="J360" i="8"/>
  <c r="P359" i="8"/>
  <c r="M359" i="8"/>
  <c r="J359" i="8"/>
  <c r="V359" i="8" s="1"/>
  <c r="R359" i="8" s="1"/>
  <c r="P358" i="8"/>
  <c r="M358" i="8"/>
  <c r="J358" i="8"/>
  <c r="P357" i="8"/>
  <c r="M357" i="8"/>
  <c r="J357" i="8"/>
  <c r="P356" i="8"/>
  <c r="M356" i="8"/>
  <c r="J356" i="8"/>
  <c r="P355" i="8"/>
  <c r="M355" i="8"/>
  <c r="J355" i="8"/>
  <c r="P354" i="8"/>
  <c r="M354" i="8"/>
  <c r="J354" i="8"/>
  <c r="V354" i="8" s="1"/>
  <c r="R354" i="8" s="1"/>
  <c r="P353" i="8"/>
  <c r="M353" i="8"/>
  <c r="J353" i="8"/>
  <c r="P352" i="8"/>
  <c r="M352" i="8"/>
  <c r="J352" i="8"/>
  <c r="P351" i="8"/>
  <c r="M351" i="8"/>
  <c r="J351" i="8"/>
  <c r="V351" i="8" s="1"/>
  <c r="R351" i="8" s="1"/>
  <c r="P350" i="8"/>
  <c r="M350" i="8"/>
  <c r="J350" i="8"/>
  <c r="P349" i="8"/>
  <c r="M349" i="8"/>
  <c r="J349" i="8"/>
  <c r="P348" i="8"/>
  <c r="M348" i="8"/>
  <c r="J348" i="8"/>
  <c r="P347" i="8"/>
  <c r="M347" i="8"/>
  <c r="J347" i="8"/>
  <c r="P346" i="8"/>
  <c r="M346" i="8"/>
  <c r="J346" i="8"/>
  <c r="V346" i="8" s="1"/>
  <c r="R346" i="8" s="1"/>
  <c r="P345" i="8"/>
  <c r="M345" i="8"/>
  <c r="J345" i="8"/>
  <c r="P344" i="8"/>
  <c r="M344" i="8"/>
  <c r="J344" i="8"/>
  <c r="P343" i="8"/>
  <c r="M343" i="8"/>
  <c r="J343" i="8"/>
  <c r="V343" i="8" s="1"/>
  <c r="R343" i="8" s="1"/>
  <c r="P342" i="8"/>
  <c r="M342" i="8"/>
  <c r="J342" i="8"/>
  <c r="P341" i="8"/>
  <c r="M341" i="8"/>
  <c r="J341" i="8"/>
  <c r="P340" i="8"/>
  <c r="M340" i="8"/>
  <c r="J340" i="8"/>
  <c r="P339" i="8"/>
  <c r="M339" i="8"/>
  <c r="J339" i="8"/>
  <c r="P328" i="8"/>
  <c r="M328" i="8"/>
  <c r="J328" i="8"/>
  <c r="V328" i="8" s="1"/>
  <c r="R328" i="8" s="1"/>
  <c r="P327" i="8"/>
  <c r="M327" i="8"/>
  <c r="J327" i="8"/>
  <c r="P326" i="8"/>
  <c r="M326" i="8"/>
  <c r="J326" i="8"/>
  <c r="P325" i="8"/>
  <c r="M325" i="8"/>
  <c r="J325" i="8"/>
  <c r="V325" i="8" s="1"/>
  <c r="R325" i="8" s="1"/>
  <c r="P324" i="8"/>
  <c r="M324" i="8"/>
  <c r="J324" i="8"/>
  <c r="P323" i="8"/>
  <c r="M323" i="8"/>
  <c r="J323" i="8"/>
  <c r="P322" i="8"/>
  <c r="M322" i="8"/>
  <c r="J322" i="8"/>
  <c r="P321" i="8"/>
  <c r="M321" i="8"/>
  <c r="J321" i="8"/>
  <c r="P320" i="8"/>
  <c r="M320" i="8"/>
  <c r="J320" i="8"/>
  <c r="V320" i="8" s="1"/>
  <c r="R320" i="8" s="1"/>
  <c r="P319" i="8"/>
  <c r="M319" i="8"/>
  <c r="J319" i="8"/>
  <c r="P318" i="8"/>
  <c r="M318" i="8"/>
  <c r="J318" i="8"/>
  <c r="P317" i="8"/>
  <c r="M317" i="8"/>
  <c r="J317" i="8"/>
  <c r="V317" i="8" s="1"/>
  <c r="R317" i="8" s="1"/>
  <c r="P316" i="8"/>
  <c r="M316" i="8"/>
  <c r="J316" i="8"/>
  <c r="P315" i="8"/>
  <c r="M315" i="8"/>
  <c r="J315" i="8"/>
  <c r="P314" i="8"/>
  <c r="M314" i="8"/>
  <c r="J314" i="8"/>
  <c r="P313" i="8"/>
  <c r="M313" i="8"/>
  <c r="J313" i="8"/>
  <c r="P312" i="8"/>
  <c r="M312" i="8"/>
  <c r="J312" i="8"/>
  <c r="P311" i="8"/>
  <c r="M311" i="8"/>
  <c r="J311" i="8"/>
  <c r="P310" i="8"/>
  <c r="M310" i="8"/>
  <c r="J310" i="8"/>
  <c r="P309" i="8"/>
  <c r="M309" i="8"/>
  <c r="J309" i="8"/>
  <c r="P308" i="8"/>
  <c r="M308" i="8"/>
  <c r="J308" i="8"/>
  <c r="P307" i="8"/>
  <c r="M307" i="8"/>
  <c r="J307" i="8"/>
  <c r="P306" i="8"/>
  <c r="M306" i="8"/>
  <c r="J306" i="8"/>
  <c r="P305" i="8"/>
  <c r="M305" i="8"/>
  <c r="J305" i="8"/>
  <c r="P304" i="8"/>
  <c r="M304" i="8"/>
  <c r="J304" i="8"/>
  <c r="P303" i="8"/>
  <c r="M303" i="8"/>
  <c r="J303" i="8"/>
  <c r="P302" i="8"/>
  <c r="M302" i="8"/>
  <c r="J302" i="8"/>
  <c r="P301" i="8"/>
  <c r="M301" i="8"/>
  <c r="J301" i="8"/>
  <c r="P300" i="8"/>
  <c r="M300" i="8"/>
  <c r="J300" i="8"/>
  <c r="P299" i="8"/>
  <c r="M299" i="8"/>
  <c r="J299" i="8"/>
  <c r="P298" i="8"/>
  <c r="M298" i="8"/>
  <c r="J298" i="8"/>
  <c r="P297" i="8"/>
  <c r="M297" i="8"/>
  <c r="J297" i="8"/>
  <c r="P296" i="8"/>
  <c r="M296" i="8"/>
  <c r="J296" i="8"/>
  <c r="P295" i="8"/>
  <c r="M295" i="8"/>
  <c r="J295" i="8"/>
  <c r="P294" i="8"/>
  <c r="M294" i="8"/>
  <c r="J294" i="8"/>
  <c r="P293" i="8"/>
  <c r="M293" i="8"/>
  <c r="J293" i="8"/>
  <c r="P292" i="8"/>
  <c r="M292" i="8"/>
  <c r="J292" i="8"/>
  <c r="P291" i="8"/>
  <c r="M291" i="8"/>
  <c r="J291" i="8"/>
  <c r="P290" i="8"/>
  <c r="M290" i="8"/>
  <c r="J290" i="8"/>
  <c r="P289" i="8"/>
  <c r="M289" i="8"/>
  <c r="J289" i="8"/>
  <c r="P288" i="8"/>
  <c r="M288" i="8"/>
  <c r="J288" i="8"/>
  <c r="P287" i="8"/>
  <c r="M287" i="8"/>
  <c r="J287" i="8"/>
  <c r="P286" i="8"/>
  <c r="M286" i="8"/>
  <c r="J286" i="8"/>
  <c r="P285" i="8"/>
  <c r="M285" i="8"/>
  <c r="J285" i="8"/>
  <c r="P284" i="8"/>
  <c r="M284" i="8"/>
  <c r="J284" i="8"/>
  <c r="P283" i="8"/>
  <c r="M283" i="8"/>
  <c r="J283" i="8"/>
  <c r="P272" i="8"/>
  <c r="M272" i="8"/>
  <c r="J272" i="8"/>
  <c r="P271" i="8"/>
  <c r="M271" i="8"/>
  <c r="J271" i="8"/>
  <c r="P270" i="8"/>
  <c r="M270" i="8"/>
  <c r="J270" i="8"/>
  <c r="P269" i="8"/>
  <c r="M269" i="8"/>
  <c r="J269" i="8"/>
  <c r="P268" i="8"/>
  <c r="M268" i="8"/>
  <c r="J268" i="8"/>
  <c r="P267" i="8"/>
  <c r="M267" i="8"/>
  <c r="J267" i="8"/>
  <c r="P266" i="8"/>
  <c r="M266" i="8"/>
  <c r="J266" i="8"/>
  <c r="P265" i="8"/>
  <c r="M265" i="8"/>
  <c r="J265" i="8"/>
  <c r="P264" i="8"/>
  <c r="M264" i="8"/>
  <c r="J264" i="8"/>
  <c r="P263" i="8"/>
  <c r="M263" i="8"/>
  <c r="J263" i="8"/>
  <c r="P262" i="8"/>
  <c r="M262" i="8"/>
  <c r="J262" i="8"/>
  <c r="P261" i="8"/>
  <c r="M261" i="8"/>
  <c r="J261" i="8"/>
  <c r="P260" i="8"/>
  <c r="M260" i="8"/>
  <c r="J260" i="8"/>
  <c r="P259" i="8"/>
  <c r="M259" i="8"/>
  <c r="J259" i="8"/>
  <c r="P258" i="8"/>
  <c r="M258" i="8"/>
  <c r="J258" i="8"/>
  <c r="P257" i="8"/>
  <c r="M257" i="8"/>
  <c r="J257" i="8"/>
  <c r="P256" i="8"/>
  <c r="M256" i="8"/>
  <c r="J256" i="8"/>
  <c r="P255" i="8"/>
  <c r="M255" i="8"/>
  <c r="J255" i="8"/>
  <c r="P254" i="8"/>
  <c r="M254" i="8"/>
  <c r="J254" i="8"/>
  <c r="P253" i="8"/>
  <c r="M253" i="8"/>
  <c r="J253" i="8"/>
  <c r="P252" i="8"/>
  <c r="M252" i="8"/>
  <c r="J252" i="8"/>
  <c r="P251" i="8"/>
  <c r="M251" i="8"/>
  <c r="J251" i="8"/>
  <c r="P250" i="8"/>
  <c r="M250" i="8"/>
  <c r="J250" i="8"/>
  <c r="P249" i="8"/>
  <c r="M249" i="8"/>
  <c r="J249" i="8"/>
  <c r="P248" i="8"/>
  <c r="M248" i="8"/>
  <c r="J248" i="8"/>
  <c r="P247" i="8"/>
  <c r="M247" i="8"/>
  <c r="J247" i="8"/>
  <c r="P246" i="8"/>
  <c r="M246" i="8"/>
  <c r="J246" i="8"/>
  <c r="P245" i="8"/>
  <c r="M245" i="8"/>
  <c r="J245" i="8"/>
  <c r="P244" i="8"/>
  <c r="M244" i="8"/>
  <c r="J244" i="8"/>
  <c r="P243" i="8"/>
  <c r="M243" i="8"/>
  <c r="J243" i="8"/>
  <c r="V243" i="8" s="1"/>
  <c r="R243" i="8" s="1"/>
  <c r="P242" i="8"/>
  <c r="M242" i="8"/>
  <c r="J242" i="8"/>
  <c r="P241" i="8"/>
  <c r="M241" i="8"/>
  <c r="J241" i="8"/>
  <c r="P240" i="8"/>
  <c r="M240" i="8"/>
  <c r="J240" i="8"/>
  <c r="P239" i="8"/>
  <c r="M239" i="8"/>
  <c r="J239" i="8"/>
  <c r="P238" i="8"/>
  <c r="M238" i="8"/>
  <c r="J238" i="8"/>
  <c r="P237" i="8"/>
  <c r="M237" i="8"/>
  <c r="J237" i="8"/>
  <c r="P236" i="8"/>
  <c r="M236" i="8"/>
  <c r="J236" i="8"/>
  <c r="P235" i="8"/>
  <c r="M235" i="8"/>
  <c r="J235" i="8"/>
  <c r="V235" i="8" s="1"/>
  <c r="R235" i="8" s="1"/>
  <c r="P234" i="8"/>
  <c r="M234" i="8"/>
  <c r="J234" i="8"/>
  <c r="P233" i="8"/>
  <c r="M233" i="8"/>
  <c r="J233" i="8"/>
  <c r="P232" i="8"/>
  <c r="M232" i="8"/>
  <c r="J232" i="8"/>
  <c r="P231" i="8"/>
  <c r="M231" i="8"/>
  <c r="J231" i="8"/>
  <c r="P230" i="8"/>
  <c r="M230" i="8"/>
  <c r="J230" i="8"/>
  <c r="P229" i="8"/>
  <c r="M229" i="8"/>
  <c r="J229" i="8"/>
  <c r="P228" i="8"/>
  <c r="M228" i="8"/>
  <c r="J228" i="8"/>
  <c r="P227" i="8"/>
  <c r="M227" i="8"/>
  <c r="J227" i="8"/>
  <c r="V227" i="8" s="1"/>
  <c r="R227" i="8" s="1"/>
  <c r="P216" i="8"/>
  <c r="M216" i="8"/>
  <c r="J216" i="8"/>
  <c r="P215" i="8"/>
  <c r="M215" i="8"/>
  <c r="J215" i="8"/>
  <c r="P214" i="8"/>
  <c r="M214" i="8"/>
  <c r="J214" i="8"/>
  <c r="V214" i="8" s="1"/>
  <c r="R214" i="8" s="1"/>
  <c r="P213" i="8"/>
  <c r="M213" i="8"/>
  <c r="J213" i="8"/>
  <c r="P212" i="8"/>
  <c r="M212" i="8"/>
  <c r="J212" i="8"/>
  <c r="P211" i="8"/>
  <c r="M211" i="8"/>
  <c r="J211" i="8"/>
  <c r="P210" i="8"/>
  <c r="M210" i="8"/>
  <c r="J210" i="8"/>
  <c r="P209" i="8"/>
  <c r="M209" i="8"/>
  <c r="J209" i="8"/>
  <c r="V209" i="8" s="1"/>
  <c r="R209" i="8" s="1"/>
  <c r="P208" i="8"/>
  <c r="M208" i="8"/>
  <c r="J208" i="8"/>
  <c r="P207" i="8"/>
  <c r="M207" i="8"/>
  <c r="J207" i="8"/>
  <c r="P206" i="8"/>
  <c r="M206" i="8"/>
  <c r="J206" i="8"/>
  <c r="P205" i="8"/>
  <c r="M205" i="8"/>
  <c r="J205" i="8"/>
  <c r="P204" i="8"/>
  <c r="M204" i="8"/>
  <c r="J204" i="8"/>
  <c r="P203" i="8"/>
  <c r="M203" i="8"/>
  <c r="J203" i="8"/>
  <c r="P202" i="8"/>
  <c r="M202" i="8"/>
  <c r="J202" i="8"/>
  <c r="P201" i="8"/>
  <c r="M201" i="8"/>
  <c r="J201" i="8"/>
  <c r="P200" i="8"/>
  <c r="M200" i="8"/>
  <c r="J200" i="8"/>
  <c r="P199" i="8"/>
  <c r="M199" i="8"/>
  <c r="J199" i="8"/>
  <c r="P198" i="8"/>
  <c r="M198" i="8"/>
  <c r="J198" i="8"/>
  <c r="P197" i="8"/>
  <c r="M197" i="8"/>
  <c r="J197" i="8"/>
  <c r="P196" i="8"/>
  <c r="M196" i="8"/>
  <c r="J196" i="8"/>
  <c r="P195" i="8"/>
  <c r="M195" i="8"/>
  <c r="J195" i="8"/>
  <c r="P194" i="8"/>
  <c r="M194" i="8"/>
  <c r="J194" i="8"/>
  <c r="P193" i="8"/>
  <c r="M193" i="8"/>
  <c r="J193" i="8"/>
  <c r="P192" i="8"/>
  <c r="M192" i="8"/>
  <c r="J192" i="8"/>
  <c r="P191" i="8"/>
  <c r="M191" i="8"/>
  <c r="J191" i="8"/>
  <c r="P190" i="8"/>
  <c r="M190" i="8"/>
  <c r="J190" i="8"/>
  <c r="P189" i="8"/>
  <c r="M189" i="8"/>
  <c r="J189" i="8"/>
  <c r="P188" i="8"/>
  <c r="M188" i="8"/>
  <c r="J188" i="8"/>
  <c r="P187" i="8"/>
  <c r="M187" i="8"/>
  <c r="J187" i="8"/>
  <c r="P186" i="8"/>
  <c r="M186" i="8"/>
  <c r="J186" i="8"/>
  <c r="P185" i="8"/>
  <c r="M185" i="8"/>
  <c r="J185" i="8"/>
  <c r="P184" i="8"/>
  <c r="M184" i="8"/>
  <c r="J184" i="8"/>
  <c r="P183" i="8"/>
  <c r="M183" i="8"/>
  <c r="J183" i="8"/>
  <c r="P182" i="8"/>
  <c r="M182" i="8"/>
  <c r="J182" i="8"/>
  <c r="P181" i="8"/>
  <c r="M181" i="8"/>
  <c r="J181" i="8"/>
  <c r="P180" i="8"/>
  <c r="M180" i="8"/>
  <c r="J180" i="8"/>
  <c r="P179" i="8"/>
  <c r="M179" i="8"/>
  <c r="J179" i="8"/>
  <c r="P178" i="8"/>
  <c r="M178" i="8"/>
  <c r="J178" i="8"/>
  <c r="P177" i="8"/>
  <c r="M177" i="8"/>
  <c r="J177" i="8"/>
  <c r="P176" i="8"/>
  <c r="M176" i="8"/>
  <c r="J176" i="8"/>
  <c r="P175" i="8"/>
  <c r="M175" i="8"/>
  <c r="J175" i="8"/>
  <c r="P174" i="8"/>
  <c r="M174" i="8"/>
  <c r="J174" i="8"/>
  <c r="P173" i="8"/>
  <c r="M173" i="8"/>
  <c r="J173" i="8"/>
  <c r="P172" i="8"/>
  <c r="M172" i="8"/>
  <c r="J172" i="8"/>
  <c r="P171" i="8"/>
  <c r="M171" i="8"/>
  <c r="J171" i="8"/>
  <c r="P158" i="8"/>
  <c r="M158" i="8"/>
  <c r="J158" i="8"/>
  <c r="P157" i="8"/>
  <c r="M157" i="8"/>
  <c r="J157" i="8"/>
  <c r="P156" i="8"/>
  <c r="M156" i="8"/>
  <c r="J156" i="8"/>
  <c r="P155" i="8"/>
  <c r="M155" i="8"/>
  <c r="J155" i="8"/>
  <c r="P154" i="8"/>
  <c r="M154" i="8"/>
  <c r="J154" i="8"/>
  <c r="V154" i="8"/>
  <c r="R154" i="8" s="1"/>
  <c r="P153" i="8"/>
  <c r="M153" i="8"/>
  <c r="J153" i="8"/>
  <c r="P152" i="8"/>
  <c r="M152" i="8"/>
  <c r="J152" i="8"/>
  <c r="P151" i="8"/>
  <c r="M151" i="8"/>
  <c r="J151" i="8"/>
  <c r="P150" i="8"/>
  <c r="M150" i="8"/>
  <c r="J150" i="8"/>
  <c r="P149" i="8"/>
  <c r="M149" i="8"/>
  <c r="J149" i="8"/>
  <c r="V149" i="8" s="1"/>
  <c r="R149" i="8" s="1"/>
  <c r="P148" i="8"/>
  <c r="M148" i="8"/>
  <c r="J148" i="8"/>
  <c r="P147" i="8"/>
  <c r="M147" i="8"/>
  <c r="J147" i="8"/>
  <c r="P146" i="8"/>
  <c r="M146" i="8"/>
  <c r="J146" i="8"/>
  <c r="P145" i="8"/>
  <c r="M145" i="8"/>
  <c r="J145" i="8"/>
  <c r="P144" i="8"/>
  <c r="M144" i="8"/>
  <c r="J144" i="8"/>
  <c r="P143" i="8"/>
  <c r="M143" i="8"/>
  <c r="J143" i="8"/>
  <c r="P142" i="8"/>
  <c r="M142" i="8"/>
  <c r="J142" i="8"/>
  <c r="P141" i="8"/>
  <c r="M141" i="8"/>
  <c r="J141" i="8"/>
  <c r="P140" i="8"/>
  <c r="M140" i="8"/>
  <c r="J140" i="8"/>
  <c r="P139" i="8"/>
  <c r="M139" i="8"/>
  <c r="J139" i="8"/>
  <c r="P138" i="8"/>
  <c r="M138" i="8"/>
  <c r="J138" i="8"/>
  <c r="V138" i="8" s="1"/>
  <c r="R138" i="8" s="1"/>
  <c r="P137" i="8"/>
  <c r="M137" i="8"/>
  <c r="J137" i="8"/>
  <c r="P136" i="8"/>
  <c r="M136" i="8"/>
  <c r="J136" i="8"/>
  <c r="P135" i="8"/>
  <c r="M135" i="8"/>
  <c r="J135" i="8"/>
  <c r="P134" i="8"/>
  <c r="M134" i="8"/>
  <c r="J134" i="8"/>
  <c r="P133" i="8"/>
  <c r="M133" i="8"/>
  <c r="J133" i="8"/>
  <c r="P132" i="8"/>
  <c r="M132" i="8"/>
  <c r="J132" i="8"/>
  <c r="P131" i="8"/>
  <c r="M131" i="8"/>
  <c r="J131" i="8"/>
  <c r="P130" i="8"/>
  <c r="M130" i="8"/>
  <c r="J130" i="8"/>
  <c r="P129" i="8"/>
  <c r="M129" i="8"/>
  <c r="J129" i="8"/>
  <c r="P128" i="8"/>
  <c r="M128" i="8"/>
  <c r="J128" i="8"/>
  <c r="P127" i="8"/>
  <c r="M127" i="8"/>
  <c r="J127" i="8"/>
  <c r="P126" i="8"/>
  <c r="M126" i="8"/>
  <c r="J126" i="8"/>
  <c r="P125" i="8"/>
  <c r="M125" i="8"/>
  <c r="J125" i="8"/>
  <c r="P124" i="8"/>
  <c r="M124" i="8"/>
  <c r="J124" i="8"/>
  <c r="P123" i="8"/>
  <c r="M123" i="8"/>
  <c r="J123" i="8"/>
  <c r="P122" i="8"/>
  <c r="M122" i="8"/>
  <c r="J122" i="8"/>
  <c r="P121" i="8"/>
  <c r="M121" i="8"/>
  <c r="J121" i="8"/>
  <c r="P120" i="8"/>
  <c r="M120" i="8"/>
  <c r="J120" i="8"/>
  <c r="P119" i="8"/>
  <c r="M119" i="8"/>
  <c r="J119" i="8"/>
  <c r="P118" i="8"/>
  <c r="M118" i="8"/>
  <c r="J118" i="8"/>
  <c r="P117" i="8"/>
  <c r="M117" i="8"/>
  <c r="J117" i="8"/>
  <c r="P116" i="8"/>
  <c r="M116" i="8"/>
  <c r="J116" i="8"/>
  <c r="P115" i="8"/>
  <c r="M115" i="8"/>
  <c r="J115" i="8"/>
  <c r="P114" i="8"/>
  <c r="M114" i="8"/>
  <c r="J114" i="8"/>
  <c r="P113" i="8"/>
  <c r="M113" i="8"/>
  <c r="J113" i="8"/>
  <c r="P50" i="8"/>
  <c r="M50" i="8"/>
  <c r="J50" i="8"/>
  <c r="P49" i="8"/>
  <c r="J49" i="8"/>
  <c r="P48" i="8"/>
  <c r="M48" i="8"/>
  <c r="J48" i="8"/>
  <c r="P47" i="8"/>
  <c r="M47" i="8"/>
  <c r="J47" i="8"/>
  <c r="P46" i="8"/>
  <c r="M46" i="8"/>
  <c r="J46" i="8"/>
  <c r="P45" i="8"/>
  <c r="M45" i="8"/>
  <c r="J45" i="8"/>
  <c r="P44" i="8"/>
  <c r="M44" i="8"/>
  <c r="J44" i="8"/>
  <c r="P43" i="8"/>
  <c r="M43" i="8"/>
  <c r="J43" i="8"/>
  <c r="P42" i="8"/>
  <c r="M42" i="8"/>
  <c r="J42" i="8"/>
  <c r="P41" i="8"/>
  <c r="M41" i="8"/>
  <c r="J41" i="8"/>
  <c r="P40" i="8"/>
  <c r="M40" i="8"/>
  <c r="J40" i="8"/>
  <c r="P39" i="8"/>
  <c r="M39" i="8"/>
  <c r="J39" i="8"/>
  <c r="P38" i="8"/>
  <c r="M38" i="8"/>
  <c r="J38" i="8"/>
  <c r="P37" i="8"/>
  <c r="M37" i="8"/>
  <c r="J37" i="8"/>
  <c r="P36" i="8"/>
  <c r="M36" i="8"/>
  <c r="J36" i="8"/>
  <c r="P35" i="8"/>
  <c r="M35" i="8"/>
  <c r="J35" i="8"/>
  <c r="P34" i="8"/>
  <c r="M34" i="8"/>
  <c r="J34" i="8"/>
  <c r="P33" i="8"/>
  <c r="M33" i="8"/>
  <c r="J33" i="8"/>
  <c r="P32" i="8"/>
  <c r="M32" i="8"/>
  <c r="J32" i="8"/>
  <c r="P31" i="8"/>
  <c r="M31" i="8"/>
  <c r="J31" i="8"/>
  <c r="P30" i="8"/>
  <c r="M30" i="8"/>
  <c r="J30" i="8"/>
  <c r="V30" i="8" s="1"/>
  <c r="R30" i="8" s="1"/>
  <c r="P29" i="8"/>
  <c r="M29" i="8"/>
  <c r="J29" i="8"/>
  <c r="P28" i="8"/>
  <c r="M28" i="8"/>
  <c r="J28" i="8"/>
  <c r="P27" i="8"/>
  <c r="M27" i="8"/>
  <c r="J27" i="8"/>
  <c r="P26" i="8"/>
  <c r="M26" i="8"/>
  <c r="J26" i="8"/>
  <c r="P25" i="8"/>
  <c r="M25" i="8"/>
  <c r="J25" i="8"/>
  <c r="P24" i="8"/>
  <c r="M24" i="8"/>
  <c r="J24" i="8"/>
  <c r="P23" i="8"/>
  <c r="M23" i="8"/>
  <c r="J23" i="8"/>
  <c r="P22" i="8"/>
  <c r="M22" i="8"/>
  <c r="J22" i="8"/>
  <c r="V22" i="8" s="1"/>
  <c r="R22" i="8" s="1"/>
  <c r="P21" i="8"/>
  <c r="M21" i="8"/>
  <c r="J21" i="8"/>
  <c r="P20" i="8"/>
  <c r="M20" i="8"/>
  <c r="J20" i="8"/>
  <c r="P19" i="8"/>
  <c r="M19" i="8"/>
  <c r="J19" i="8"/>
  <c r="P18" i="8"/>
  <c r="M18" i="8"/>
  <c r="J18" i="8"/>
  <c r="V18" i="8" s="1"/>
  <c r="R18" i="8" s="1"/>
  <c r="P17" i="8"/>
  <c r="M17" i="8"/>
  <c r="J17" i="8"/>
  <c r="P16" i="8"/>
  <c r="M16" i="8"/>
  <c r="J16" i="8"/>
  <c r="P15" i="8"/>
  <c r="M15" i="8"/>
  <c r="J15" i="8"/>
  <c r="P14" i="8"/>
  <c r="M14" i="8"/>
  <c r="J14" i="8"/>
  <c r="V14" i="8" s="1"/>
  <c r="R14" i="8" s="1"/>
  <c r="P13" i="8"/>
  <c r="M13" i="8"/>
  <c r="J13" i="8"/>
  <c r="P12" i="8"/>
  <c r="M12" i="8"/>
  <c r="J12" i="8"/>
  <c r="P11" i="8"/>
  <c r="M11" i="8"/>
  <c r="J11" i="8"/>
  <c r="P10" i="8"/>
  <c r="M10" i="8"/>
  <c r="J10" i="8"/>
  <c r="P9" i="8"/>
  <c r="M9" i="8"/>
  <c r="J9" i="8"/>
  <c r="P8" i="8"/>
  <c r="M8" i="8"/>
  <c r="J8" i="8"/>
  <c r="P7" i="8"/>
  <c r="M7" i="8"/>
  <c r="J7" i="8"/>
  <c r="P6" i="8"/>
  <c r="J6" i="8"/>
  <c r="V6" i="8" s="1"/>
  <c r="R6" i="8" s="1"/>
  <c r="P275" i="7"/>
  <c r="M275" i="7"/>
  <c r="J275" i="7"/>
  <c r="P274" i="7"/>
  <c r="M274" i="7"/>
  <c r="J274" i="7"/>
  <c r="P273" i="7"/>
  <c r="M273" i="7"/>
  <c r="J273" i="7"/>
  <c r="P272" i="7"/>
  <c r="M272" i="7"/>
  <c r="J272" i="7"/>
  <c r="P271" i="7"/>
  <c r="M271" i="7"/>
  <c r="J271" i="7"/>
  <c r="P270" i="7"/>
  <c r="M270" i="7"/>
  <c r="J270" i="7"/>
  <c r="P269" i="7"/>
  <c r="M269" i="7"/>
  <c r="J269" i="7"/>
  <c r="P268" i="7"/>
  <c r="M268" i="7"/>
  <c r="J268" i="7"/>
  <c r="P267" i="7"/>
  <c r="M267" i="7"/>
  <c r="J267" i="7"/>
  <c r="P266" i="7"/>
  <c r="M266" i="7"/>
  <c r="J266" i="7"/>
  <c r="P265" i="7"/>
  <c r="M265" i="7"/>
  <c r="J265" i="7"/>
  <c r="P264" i="7"/>
  <c r="M264" i="7"/>
  <c r="J264" i="7"/>
  <c r="P263" i="7"/>
  <c r="M263" i="7"/>
  <c r="J263" i="7"/>
  <c r="P262" i="7"/>
  <c r="M262" i="7"/>
  <c r="J262" i="7"/>
  <c r="P261" i="7"/>
  <c r="M261" i="7"/>
  <c r="J261" i="7"/>
  <c r="P260" i="7"/>
  <c r="M260" i="7"/>
  <c r="J260" i="7"/>
  <c r="P259" i="7"/>
  <c r="M259" i="7"/>
  <c r="J259" i="7"/>
  <c r="P258" i="7"/>
  <c r="M258" i="7"/>
  <c r="J258" i="7"/>
  <c r="P257" i="7"/>
  <c r="M257" i="7"/>
  <c r="J257" i="7"/>
  <c r="P256" i="7"/>
  <c r="M256" i="7"/>
  <c r="J256" i="7"/>
  <c r="P255" i="7"/>
  <c r="M255" i="7"/>
  <c r="J255" i="7"/>
  <c r="P254" i="7"/>
  <c r="M254" i="7"/>
  <c r="J254" i="7"/>
  <c r="P253" i="7"/>
  <c r="M253" i="7"/>
  <c r="J253" i="7"/>
  <c r="P252" i="7"/>
  <c r="M252" i="7"/>
  <c r="J252" i="7"/>
  <c r="P251" i="7"/>
  <c r="M251" i="7"/>
  <c r="J251" i="7"/>
  <c r="P250" i="7"/>
  <c r="M250" i="7"/>
  <c r="J250" i="7"/>
  <c r="V250" i="7" s="1"/>
  <c r="R250" i="7" s="1"/>
  <c r="P249" i="7"/>
  <c r="M249" i="7"/>
  <c r="J249" i="7"/>
  <c r="P248" i="7"/>
  <c r="M248" i="7"/>
  <c r="J248" i="7"/>
  <c r="P247" i="7"/>
  <c r="M247" i="7"/>
  <c r="J247" i="7"/>
  <c r="P246" i="7"/>
  <c r="M246" i="7"/>
  <c r="J246" i="7"/>
  <c r="P245" i="7"/>
  <c r="M245" i="7"/>
  <c r="J245" i="7"/>
  <c r="P244" i="7"/>
  <c r="M244" i="7"/>
  <c r="J244" i="7"/>
  <c r="P243" i="7"/>
  <c r="M243" i="7"/>
  <c r="J243" i="7"/>
  <c r="P242" i="7"/>
  <c r="M242" i="7"/>
  <c r="J242" i="7"/>
  <c r="P241" i="7"/>
  <c r="M241" i="7"/>
  <c r="J241" i="7"/>
  <c r="P240" i="7"/>
  <c r="M240" i="7"/>
  <c r="J240" i="7"/>
  <c r="P239" i="7"/>
  <c r="M239" i="7"/>
  <c r="J239" i="7"/>
  <c r="P238" i="7"/>
  <c r="M238" i="7"/>
  <c r="J238" i="7"/>
  <c r="P237" i="7"/>
  <c r="M237" i="7"/>
  <c r="J237" i="7"/>
  <c r="P236" i="7"/>
  <c r="M236" i="7"/>
  <c r="J236" i="7"/>
  <c r="P235" i="7"/>
  <c r="M235" i="7"/>
  <c r="J235" i="7"/>
  <c r="P234" i="7"/>
  <c r="M234" i="7"/>
  <c r="J234" i="7"/>
  <c r="P233" i="7"/>
  <c r="M233" i="7"/>
  <c r="J233" i="7"/>
  <c r="P232" i="7"/>
  <c r="M232" i="7"/>
  <c r="J232" i="7"/>
  <c r="P231" i="7"/>
  <c r="M231" i="7"/>
  <c r="J231" i="7"/>
  <c r="P230" i="7"/>
  <c r="M230" i="7"/>
  <c r="J230" i="7"/>
  <c r="P217" i="7"/>
  <c r="M217" i="7"/>
  <c r="J217" i="7"/>
  <c r="P216" i="7"/>
  <c r="M216" i="7"/>
  <c r="J216" i="7"/>
  <c r="P215" i="7"/>
  <c r="M215" i="7"/>
  <c r="J215" i="7"/>
  <c r="P214" i="7"/>
  <c r="M214" i="7"/>
  <c r="J214" i="7"/>
  <c r="P213" i="7"/>
  <c r="M213" i="7"/>
  <c r="J213" i="7"/>
  <c r="P212" i="7"/>
  <c r="M212" i="7"/>
  <c r="J212" i="7"/>
  <c r="P211" i="7"/>
  <c r="M211" i="7"/>
  <c r="J211" i="7"/>
  <c r="P210" i="7"/>
  <c r="M210" i="7"/>
  <c r="J210" i="7"/>
  <c r="P209" i="7"/>
  <c r="M209" i="7"/>
  <c r="J209" i="7"/>
  <c r="P208" i="7"/>
  <c r="M208" i="7"/>
  <c r="J208" i="7"/>
  <c r="P207" i="7"/>
  <c r="M207" i="7"/>
  <c r="J207" i="7"/>
  <c r="P206" i="7"/>
  <c r="M206" i="7"/>
  <c r="J206" i="7"/>
  <c r="P205" i="7"/>
  <c r="M205" i="7"/>
  <c r="J205" i="7"/>
  <c r="P204" i="7"/>
  <c r="M204" i="7"/>
  <c r="J204" i="7"/>
  <c r="P203" i="7"/>
  <c r="M203" i="7"/>
  <c r="J203" i="7"/>
  <c r="P202" i="7"/>
  <c r="M202" i="7"/>
  <c r="J202" i="7"/>
  <c r="P201" i="7"/>
  <c r="M201" i="7"/>
  <c r="J201" i="7"/>
  <c r="P200" i="7"/>
  <c r="M200" i="7"/>
  <c r="J200" i="7"/>
  <c r="P199" i="7"/>
  <c r="M199" i="7"/>
  <c r="J199" i="7"/>
  <c r="P198" i="7"/>
  <c r="M198" i="7"/>
  <c r="J198" i="7"/>
  <c r="P197" i="7"/>
  <c r="M197" i="7"/>
  <c r="J197" i="7"/>
  <c r="P196" i="7"/>
  <c r="M196" i="7"/>
  <c r="J196" i="7"/>
  <c r="P195" i="7"/>
  <c r="M195" i="7"/>
  <c r="J195" i="7"/>
  <c r="P194" i="7"/>
  <c r="M194" i="7"/>
  <c r="J194" i="7"/>
  <c r="P193" i="7"/>
  <c r="M193" i="7"/>
  <c r="J193" i="7"/>
  <c r="P192" i="7"/>
  <c r="M192" i="7"/>
  <c r="J192" i="7"/>
  <c r="P191" i="7"/>
  <c r="M191" i="7"/>
  <c r="J191" i="7"/>
  <c r="P190" i="7"/>
  <c r="M190" i="7"/>
  <c r="J190" i="7"/>
  <c r="P189" i="7"/>
  <c r="M189" i="7"/>
  <c r="J189" i="7"/>
  <c r="P188" i="7"/>
  <c r="M188" i="7"/>
  <c r="J188" i="7"/>
  <c r="P187" i="7"/>
  <c r="M187" i="7"/>
  <c r="J187" i="7"/>
  <c r="P186" i="7"/>
  <c r="M186" i="7"/>
  <c r="J186" i="7"/>
  <c r="P185" i="7"/>
  <c r="M185" i="7"/>
  <c r="J185" i="7"/>
  <c r="P184" i="7"/>
  <c r="M184" i="7"/>
  <c r="J184" i="7"/>
  <c r="P183" i="7"/>
  <c r="M183" i="7"/>
  <c r="J183" i="7"/>
  <c r="P182" i="7"/>
  <c r="M182" i="7"/>
  <c r="J182" i="7"/>
  <c r="P181" i="7"/>
  <c r="M181" i="7"/>
  <c r="J181" i="7"/>
  <c r="P180" i="7"/>
  <c r="M180" i="7"/>
  <c r="J180" i="7"/>
  <c r="P179" i="7"/>
  <c r="M179" i="7"/>
  <c r="J179" i="7"/>
  <c r="P178" i="7"/>
  <c r="M178" i="7"/>
  <c r="J178" i="7"/>
  <c r="P177" i="7"/>
  <c r="M177" i="7"/>
  <c r="J177" i="7"/>
  <c r="P176" i="7"/>
  <c r="M176" i="7"/>
  <c r="J176" i="7"/>
  <c r="P175" i="7"/>
  <c r="M175" i="7"/>
  <c r="J175" i="7"/>
  <c r="P174" i="7"/>
  <c r="M174" i="7"/>
  <c r="J174" i="7"/>
  <c r="P173" i="7"/>
  <c r="M173" i="7"/>
  <c r="J173" i="7"/>
  <c r="P172" i="7"/>
  <c r="M172" i="7"/>
  <c r="J172" i="7"/>
  <c r="P159" i="7"/>
  <c r="M159" i="7"/>
  <c r="J159" i="7"/>
  <c r="P158" i="7"/>
  <c r="M158" i="7"/>
  <c r="J158" i="7"/>
  <c r="P157" i="7"/>
  <c r="M157" i="7"/>
  <c r="J157" i="7"/>
  <c r="P156" i="7"/>
  <c r="M156" i="7"/>
  <c r="J156" i="7"/>
  <c r="P155" i="7"/>
  <c r="M155" i="7"/>
  <c r="J155" i="7"/>
  <c r="P154" i="7"/>
  <c r="M154" i="7"/>
  <c r="J154" i="7"/>
  <c r="P153" i="7"/>
  <c r="M153" i="7"/>
  <c r="J153" i="7"/>
  <c r="P152" i="7"/>
  <c r="M152" i="7"/>
  <c r="J152" i="7"/>
  <c r="P151" i="7"/>
  <c r="M151" i="7"/>
  <c r="J151" i="7"/>
  <c r="P150" i="7"/>
  <c r="M150" i="7"/>
  <c r="J150" i="7"/>
  <c r="P149" i="7"/>
  <c r="M149" i="7"/>
  <c r="J149" i="7"/>
  <c r="P148" i="7"/>
  <c r="M148" i="7"/>
  <c r="J148" i="7"/>
  <c r="P147" i="7"/>
  <c r="M147" i="7"/>
  <c r="J147" i="7"/>
  <c r="P146" i="7"/>
  <c r="M146" i="7"/>
  <c r="J146" i="7"/>
  <c r="P145" i="7"/>
  <c r="M145" i="7"/>
  <c r="J145" i="7"/>
  <c r="P144" i="7"/>
  <c r="M144" i="7"/>
  <c r="J144" i="7"/>
  <c r="P143" i="7"/>
  <c r="M143" i="7"/>
  <c r="J143" i="7"/>
  <c r="P142" i="7"/>
  <c r="M142" i="7"/>
  <c r="J142" i="7"/>
  <c r="P141" i="7"/>
  <c r="M141" i="7"/>
  <c r="J141" i="7"/>
  <c r="P140" i="7"/>
  <c r="M140" i="7"/>
  <c r="J140" i="7"/>
  <c r="P139" i="7"/>
  <c r="M139" i="7"/>
  <c r="J139" i="7"/>
  <c r="P138" i="7"/>
  <c r="M138" i="7"/>
  <c r="J138" i="7"/>
  <c r="P137" i="7"/>
  <c r="M137" i="7"/>
  <c r="J137" i="7"/>
  <c r="P136" i="7"/>
  <c r="M136" i="7"/>
  <c r="J136" i="7"/>
  <c r="P135" i="7"/>
  <c r="M135" i="7"/>
  <c r="J135" i="7"/>
  <c r="P134" i="7"/>
  <c r="M134" i="7"/>
  <c r="J134" i="7"/>
  <c r="P133" i="7"/>
  <c r="M133" i="7"/>
  <c r="J133" i="7"/>
  <c r="P132" i="7"/>
  <c r="M132" i="7"/>
  <c r="J132" i="7"/>
  <c r="P131" i="7"/>
  <c r="M131" i="7"/>
  <c r="J131" i="7"/>
  <c r="P130" i="7"/>
  <c r="M130" i="7"/>
  <c r="J130" i="7"/>
  <c r="P129" i="7"/>
  <c r="M129" i="7"/>
  <c r="J129" i="7"/>
  <c r="P128" i="7"/>
  <c r="M128" i="7"/>
  <c r="J128" i="7"/>
  <c r="P127" i="7"/>
  <c r="M127" i="7"/>
  <c r="J127" i="7"/>
  <c r="P126" i="7"/>
  <c r="M126" i="7"/>
  <c r="J126" i="7"/>
  <c r="P125" i="7"/>
  <c r="M125" i="7"/>
  <c r="J125" i="7"/>
  <c r="P124" i="7"/>
  <c r="M124" i="7"/>
  <c r="J124" i="7"/>
  <c r="P123" i="7"/>
  <c r="M123" i="7"/>
  <c r="J123" i="7"/>
  <c r="P122" i="7"/>
  <c r="M122" i="7"/>
  <c r="J122" i="7"/>
  <c r="P121" i="7"/>
  <c r="M121" i="7"/>
  <c r="J121" i="7"/>
  <c r="P120" i="7"/>
  <c r="M120" i="7"/>
  <c r="J120" i="7"/>
  <c r="P119" i="7"/>
  <c r="M119" i="7"/>
  <c r="J119" i="7"/>
  <c r="P118" i="7"/>
  <c r="M118" i="7"/>
  <c r="J118" i="7"/>
  <c r="P117" i="7"/>
  <c r="M117" i="7"/>
  <c r="J117" i="7"/>
  <c r="P116" i="7"/>
  <c r="M116" i="7"/>
  <c r="J116" i="7"/>
  <c r="P115" i="7"/>
  <c r="M115" i="7"/>
  <c r="J115" i="7"/>
  <c r="P114" i="7"/>
  <c r="M114" i="7"/>
  <c r="J114" i="7"/>
  <c r="P104" i="7"/>
  <c r="M104" i="7"/>
  <c r="J104" i="7"/>
  <c r="P103" i="7"/>
  <c r="M103" i="7"/>
  <c r="J103" i="7"/>
  <c r="P102" i="7"/>
  <c r="M102" i="7"/>
  <c r="J102" i="7"/>
  <c r="P101" i="7"/>
  <c r="M101" i="7"/>
  <c r="J101" i="7"/>
  <c r="P100" i="7"/>
  <c r="M100" i="7"/>
  <c r="J100" i="7"/>
  <c r="P99" i="7"/>
  <c r="M99" i="7"/>
  <c r="J99" i="7"/>
  <c r="P98" i="7"/>
  <c r="M98" i="7"/>
  <c r="J98" i="7"/>
  <c r="P97" i="7"/>
  <c r="M97" i="7"/>
  <c r="J97" i="7"/>
  <c r="P96" i="7"/>
  <c r="M96" i="7"/>
  <c r="J96" i="7"/>
  <c r="P95" i="7"/>
  <c r="M95" i="7"/>
  <c r="J95" i="7"/>
  <c r="P94" i="7"/>
  <c r="M94" i="7"/>
  <c r="J94" i="7"/>
  <c r="P93" i="7"/>
  <c r="M93" i="7"/>
  <c r="J93" i="7"/>
  <c r="P92" i="7"/>
  <c r="M92" i="7"/>
  <c r="J92" i="7"/>
  <c r="P91" i="7"/>
  <c r="M91" i="7"/>
  <c r="J91" i="7"/>
  <c r="P90" i="7"/>
  <c r="M90" i="7"/>
  <c r="J90" i="7"/>
  <c r="P89" i="7"/>
  <c r="M89" i="7"/>
  <c r="J89" i="7"/>
  <c r="P88" i="7"/>
  <c r="M88" i="7"/>
  <c r="J88" i="7"/>
  <c r="P87" i="7"/>
  <c r="M87" i="7"/>
  <c r="J87" i="7"/>
  <c r="P86" i="7"/>
  <c r="M86" i="7"/>
  <c r="J86" i="7"/>
  <c r="P85" i="7"/>
  <c r="M85" i="7"/>
  <c r="J85" i="7"/>
  <c r="P84" i="7"/>
  <c r="M84" i="7"/>
  <c r="J84" i="7"/>
  <c r="P83" i="7"/>
  <c r="M83" i="7"/>
  <c r="J83" i="7"/>
  <c r="P82" i="7"/>
  <c r="M82" i="7"/>
  <c r="J82" i="7"/>
  <c r="P81" i="7"/>
  <c r="M81" i="7"/>
  <c r="J81" i="7"/>
  <c r="P80" i="7"/>
  <c r="M80" i="7"/>
  <c r="J80" i="7"/>
  <c r="P79" i="7"/>
  <c r="M79" i="7"/>
  <c r="J79" i="7"/>
  <c r="P78" i="7"/>
  <c r="M78" i="7"/>
  <c r="J78" i="7"/>
  <c r="P77" i="7"/>
  <c r="M77" i="7"/>
  <c r="J77" i="7"/>
  <c r="P76" i="7"/>
  <c r="M76" i="7"/>
  <c r="J76" i="7"/>
  <c r="P75" i="7"/>
  <c r="M75" i="7"/>
  <c r="J75" i="7"/>
  <c r="P74" i="7"/>
  <c r="M74" i="7"/>
  <c r="J74" i="7"/>
  <c r="P73" i="7"/>
  <c r="M73" i="7"/>
  <c r="J73" i="7"/>
  <c r="P72" i="7"/>
  <c r="M72" i="7"/>
  <c r="J72" i="7"/>
  <c r="P71" i="7"/>
  <c r="M71" i="7"/>
  <c r="J71" i="7"/>
  <c r="P70" i="7"/>
  <c r="M70" i="7"/>
  <c r="J70" i="7"/>
  <c r="P69" i="7"/>
  <c r="M69" i="7"/>
  <c r="J69" i="7"/>
  <c r="P68" i="7"/>
  <c r="M68" i="7"/>
  <c r="J68" i="7"/>
  <c r="P67" i="7"/>
  <c r="M67" i="7"/>
  <c r="J67" i="7"/>
  <c r="P66" i="7"/>
  <c r="M66" i="7"/>
  <c r="J66" i="7"/>
  <c r="P65" i="7"/>
  <c r="M65" i="7"/>
  <c r="J65" i="7"/>
  <c r="P64" i="7"/>
  <c r="M64" i="7"/>
  <c r="J64" i="7"/>
  <c r="P63" i="7"/>
  <c r="M63" i="7"/>
  <c r="J63" i="7"/>
  <c r="P62" i="7"/>
  <c r="M62" i="7"/>
  <c r="J62" i="7"/>
  <c r="P61" i="7"/>
  <c r="M61" i="7"/>
  <c r="J61" i="7"/>
  <c r="P51" i="7"/>
  <c r="M51" i="7"/>
  <c r="J51" i="7"/>
  <c r="P50" i="7"/>
  <c r="M50" i="7"/>
  <c r="J50" i="7"/>
  <c r="P49" i="7"/>
  <c r="M49" i="7"/>
  <c r="J49" i="7"/>
  <c r="P48" i="7"/>
  <c r="M48" i="7"/>
  <c r="J48" i="7"/>
  <c r="P47" i="7"/>
  <c r="M47" i="7"/>
  <c r="J47" i="7"/>
  <c r="P46" i="7"/>
  <c r="M46" i="7"/>
  <c r="J46" i="7"/>
  <c r="P45" i="7"/>
  <c r="M45" i="7"/>
  <c r="J45" i="7"/>
  <c r="P44" i="7"/>
  <c r="M44" i="7"/>
  <c r="J44" i="7"/>
  <c r="P43" i="7"/>
  <c r="M43" i="7"/>
  <c r="J43" i="7"/>
  <c r="P42" i="7"/>
  <c r="M42" i="7"/>
  <c r="J42" i="7"/>
  <c r="P41" i="7"/>
  <c r="M41" i="7"/>
  <c r="J41" i="7"/>
  <c r="P40" i="7"/>
  <c r="M40" i="7"/>
  <c r="J40" i="7"/>
  <c r="P39" i="7"/>
  <c r="M39" i="7"/>
  <c r="J39" i="7"/>
  <c r="P38" i="7"/>
  <c r="M38" i="7"/>
  <c r="J38" i="7"/>
  <c r="P37" i="7"/>
  <c r="M37" i="7"/>
  <c r="J37" i="7"/>
  <c r="P36" i="7"/>
  <c r="M36" i="7"/>
  <c r="J36" i="7"/>
  <c r="P35" i="7"/>
  <c r="M35" i="7"/>
  <c r="J35" i="7"/>
  <c r="P34" i="7"/>
  <c r="M34" i="7"/>
  <c r="J34" i="7"/>
  <c r="P33" i="7"/>
  <c r="M33" i="7"/>
  <c r="J33" i="7"/>
  <c r="P32" i="7"/>
  <c r="M32" i="7"/>
  <c r="J32" i="7"/>
  <c r="P31" i="7"/>
  <c r="M31" i="7"/>
  <c r="J31" i="7"/>
  <c r="P30" i="7"/>
  <c r="M30" i="7"/>
  <c r="J30" i="7"/>
  <c r="P29" i="7"/>
  <c r="M29" i="7"/>
  <c r="J29" i="7"/>
  <c r="P28" i="7"/>
  <c r="M28" i="7"/>
  <c r="J28" i="7"/>
  <c r="P27" i="7"/>
  <c r="M27" i="7"/>
  <c r="J27" i="7"/>
  <c r="P26" i="7"/>
  <c r="M26" i="7"/>
  <c r="J26" i="7"/>
  <c r="P25" i="7"/>
  <c r="M25" i="7"/>
  <c r="J25" i="7"/>
  <c r="P24" i="7"/>
  <c r="M24" i="7"/>
  <c r="J24" i="7"/>
  <c r="P23" i="7"/>
  <c r="M23" i="7"/>
  <c r="J23" i="7"/>
  <c r="P22" i="7"/>
  <c r="M22" i="7"/>
  <c r="J22" i="7"/>
  <c r="P21" i="7"/>
  <c r="M21" i="7"/>
  <c r="J21" i="7"/>
  <c r="P20" i="7"/>
  <c r="M20" i="7"/>
  <c r="J20" i="7"/>
  <c r="P19" i="7"/>
  <c r="M19" i="7"/>
  <c r="J19" i="7"/>
  <c r="P18" i="7"/>
  <c r="M18" i="7"/>
  <c r="J18" i="7"/>
  <c r="P17" i="7"/>
  <c r="M17" i="7"/>
  <c r="J17" i="7"/>
  <c r="P16" i="7"/>
  <c r="M16" i="7"/>
  <c r="J16" i="7"/>
  <c r="P15" i="7"/>
  <c r="M15" i="7"/>
  <c r="J15" i="7"/>
  <c r="P14" i="7"/>
  <c r="M14" i="7"/>
  <c r="J14" i="7"/>
  <c r="P13" i="7"/>
  <c r="M13" i="7"/>
  <c r="J13" i="7"/>
  <c r="P12" i="7"/>
  <c r="M12" i="7"/>
  <c r="J12" i="7"/>
  <c r="P11" i="7"/>
  <c r="M11" i="7"/>
  <c r="J11" i="7"/>
  <c r="P10" i="7"/>
  <c r="M10" i="7"/>
  <c r="J10" i="7"/>
  <c r="P9" i="7"/>
  <c r="M9" i="7"/>
  <c r="J9" i="7"/>
  <c r="P8" i="7"/>
  <c r="M8" i="7"/>
  <c r="J8" i="7"/>
  <c r="P7" i="7"/>
  <c r="M7" i="7"/>
  <c r="J7" i="7"/>
  <c r="M6" i="7"/>
  <c r="P217" i="6"/>
  <c r="M217" i="6"/>
  <c r="J217" i="6"/>
  <c r="P216" i="6"/>
  <c r="M216" i="6"/>
  <c r="J216" i="6"/>
  <c r="P215" i="6"/>
  <c r="M215" i="6"/>
  <c r="J215" i="6"/>
  <c r="P214" i="6"/>
  <c r="M214" i="6"/>
  <c r="J214" i="6"/>
  <c r="P213" i="6"/>
  <c r="M213" i="6"/>
  <c r="J213" i="6"/>
  <c r="P212" i="6"/>
  <c r="M212" i="6"/>
  <c r="J212" i="6"/>
  <c r="P211" i="6"/>
  <c r="M211" i="6"/>
  <c r="J211" i="6"/>
  <c r="P210" i="6"/>
  <c r="M210" i="6"/>
  <c r="P209" i="6"/>
  <c r="M209" i="6"/>
  <c r="J209" i="6"/>
  <c r="P208" i="6"/>
  <c r="M208" i="6"/>
  <c r="J208" i="6"/>
  <c r="P207" i="6"/>
  <c r="M207" i="6"/>
  <c r="J207" i="6"/>
  <c r="P206" i="6"/>
  <c r="M206" i="6"/>
  <c r="J206" i="6"/>
  <c r="P205" i="6"/>
  <c r="M205" i="6"/>
  <c r="J205" i="6"/>
  <c r="P204" i="6"/>
  <c r="M204" i="6"/>
  <c r="J204" i="6"/>
  <c r="P203" i="6"/>
  <c r="M203" i="6"/>
  <c r="J203" i="6"/>
  <c r="P202" i="6"/>
  <c r="M202" i="6"/>
  <c r="J202" i="6"/>
  <c r="P201" i="6"/>
  <c r="M201" i="6"/>
  <c r="J201" i="6"/>
  <c r="P200" i="6"/>
  <c r="M200" i="6"/>
  <c r="J200" i="6"/>
  <c r="P199" i="6"/>
  <c r="M199" i="6"/>
  <c r="J199" i="6"/>
  <c r="P198" i="6"/>
  <c r="M198" i="6"/>
  <c r="J198" i="6"/>
  <c r="P197" i="6"/>
  <c r="M197" i="6"/>
  <c r="J197" i="6"/>
  <c r="P196" i="6"/>
  <c r="M196" i="6"/>
  <c r="J196" i="6"/>
  <c r="P195" i="6"/>
  <c r="M195" i="6"/>
  <c r="J195" i="6"/>
  <c r="P194" i="6"/>
  <c r="M194" i="6"/>
  <c r="J194" i="6"/>
  <c r="P193" i="6"/>
  <c r="M193" i="6"/>
  <c r="J193" i="6"/>
  <c r="P192" i="6"/>
  <c r="M192" i="6"/>
  <c r="J192" i="6"/>
  <c r="P191" i="6"/>
  <c r="M191" i="6"/>
  <c r="J191" i="6"/>
  <c r="P190" i="6"/>
  <c r="M190" i="6"/>
  <c r="J190" i="6"/>
  <c r="P189" i="6"/>
  <c r="M189" i="6"/>
  <c r="J189" i="6"/>
  <c r="P188" i="6"/>
  <c r="M188" i="6"/>
  <c r="J188" i="6"/>
  <c r="P187" i="6"/>
  <c r="M187" i="6"/>
  <c r="J187" i="6"/>
  <c r="P186" i="6"/>
  <c r="M186" i="6"/>
  <c r="J186" i="6"/>
  <c r="P185" i="6"/>
  <c r="M185" i="6"/>
  <c r="J185" i="6"/>
  <c r="P184" i="6"/>
  <c r="M184" i="6"/>
  <c r="J184" i="6"/>
  <c r="P183" i="6"/>
  <c r="M183" i="6"/>
  <c r="J183" i="6"/>
  <c r="P182" i="6"/>
  <c r="M182" i="6"/>
  <c r="J182" i="6"/>
  <c r="P181" i="6"/>
  <c r="M181" i="6"/>
  <c r="J181" i="6"/>
  <c r="P180" i="6"/>
  <c r="M180" i="6"/>
  <c r="J180" i="6"/>
  <c r="P179" i="6"/>
  <c r="M179" i="6"/>
  <c r="J179" i="6"/>
  <c r="P178" i="6"/>
  <c r="M178" i="6"/>
  <c r="J178" i="6"/>
  <c r="P177" i="6"/>
  <c r="M177" i="6"/>
  <c r="J177" i="6"/>
  <c r="P176" i="6"/>
  <c r="M176" i="6"/>
  <c r="J176" i="6"/>
  <c r="P175" i="6"/>
  <c r="M175" i="6"/>
  <c r="J175" i="6"/>
  <c r="P174" i="6"/>
  <c r="M174" i="6"/>
  <c r="J174" i="6"/>
  <c r="P173" i="6"/>
  <c r="M173" i="6"/>
  <c r="J173" i="6"/>
  <c r="P172" i="6"/>
  <c r="M172" i="6"/>
  <c r="J172" i="6"/>
  <c r="P159" i="6"/>
  <c r="M159" i="6"/>
  <c r="J159" i="6"/>
  <c r="P158" i="6"/>
  <c r="M158" i="6"/>
  <c r="J158" i="6"/>
  <c r="P157" i="6"/>
  <c r="M157" i="6"/>
  <c r="J157" i="6"/>
  <c r="P156" i="6"/>
  <c r="M156" i="6"/>
  <c r="J156" i="6"/>
  <c r="P155" i="6"/>
  <c r="M155" i="6"/>
  <c r="J155" i="6"/>
  <c r="P154" i="6"/>
  <c r="M154" i="6"/>
  <c r="J154" i="6"/>
  <c r="P153" i="6"/>
  <c r="M153" i="6"/>
  <c r="J153" i="6"/>
  <c r="P152" i="6"/>
  <c r="M152" i="6"/>
  <c r="J152" i="6"/>
  <c r="P151" i="6"/>
  <c r="M151" i="6"/>
  <c r="J151" i="6"/>
  <c r="P150" i="6"/>
  <c r="M150" i="6"/>
  <c r="J150" i="6"/>
  <c r="P149" i="6"/>
  <c r="M149" i="6"/>
  <c r="J149" i="6"/>
  <c r="P148" i="6"/>
  <c r="M148" i="6"/>
  <c r="J148" i="6"/>
  <c r="P147" i="6"/>
  <c r="M147" i="6"/>
  <c r="J147" i="6"/>
  <c r="P146" i="6"/>
  <c r="M146" i="6"/>
  <c r="J146" i="6"/>
  <c r="P145" i="6"/>
  <c r="M145" i="6"/>
  <c r="J145" i="6"/>
  <c r="P144" i="6"/>
  <c r="M144" i="6"/>
  <c r="J144" i="6"/>
  <c r="P143" i="6"/>
  <c r="M143" i="6"/>
  <c r="J143" i="6"/>
  <c r="P142" i="6"/>
  <c r="M142" i="6"/>
  <c r="J142" i="6"/>
  <c r="P141" i="6"/>
  <c r="M141" i="6"/>
  <c r="J141" i="6"/>
  <c r="P140" i="6"/>
  <c r="M140" i="6"/>
  <c r="J140" i="6"/>
  <c r="P139" i="6"/>
  <c r="M139" i="6"/>
  <c r="J139" i="6"/>
  <c r="P138" i="6"/>
  <c r="M138" i="6"/>
  <c r="J138" i="6"/>
  <c r="P137" i="6"/>
  <c r="M137" i="6"/>
  <c r="J137" i="6"/>
  <c r="P136" i="6"/>
  <c r="M136" i="6"/>
  <c r="J136" i="6"/>
  <c r="P135" i="6"/>
  <c r="M135" i="6"/>
  <c r="J135" i="6"/>
  <c r="P134" i="6"/>
  <c r="M134" i="6"/>
  <c r="J134" i="6"/>
  <c r="P133" i="6"/>
  <c r="M133" i="6"/>
  <c r="J133" i="6"/>
  <c r="P132" i="6"/>
  <c r="M132" i="6"/>
  <c r="J132" i="6"/>
  <c r="P131" i="6"/>
  <c r="M131" i="6"/>
  <c r="J131" i="6"/>
  <c r="P130" i="6"/>
  <c r="M130" i="6"/>
  <c r="J130" i="6"/>
  <c r="P129" i="6"/>
  <c r="M129" i="6"/>
  <c r="J129" i="6"/>
  <c r="P128" i="6"/>
  <c r="M128" i="6"/>
  <c r="J128" i="6"/>
  <c r="P127" i="6"/>
  <c r="M127" i="6"/>
  <c r="J127" i="6"/>
  <c r="P126" i="6"/>
  <c r="M126" i="6"/>
  <c r="J126" i="6"/>
  <c r="P125" i="6"/>
  <c r="M125" i="6"/>
  <c r="J125" i="6"/>
  <c r="P124" i="6"/>
  <c r="M124" i="6"/>
  <c r="J124" i="6"/>
  <c r="P123" i="6"/>
  <c r="M123" i="6"/>
  <c r="J123" i="6"/>
  <c r="P122" i="6"/>
  <c r="M122" i="6"/>
  <c r="J122" i="6"/>
  <c r="P121" i="6"/>
  <c r="M121" i="6"/>
  <c r="J121" i="6"/>
  <c r="P120" i="6"/>
  <c r="M120" i="6"/>
  <c r="J120" i="6"/>
  <c r="P119" i="6"/>
  <c r="M119" i="6"/>
  <c r="J119" i="6"/>
  <c r="P118" i="6"/>
  <c r="M118" i="6"/>
  <c r="J118" i="6"/>
  <c r="P117" i="6"/>
  <c r="M117" i="6"/>
  <c r="J117" i="6"/>
  <c r="P116" i="6"/>
  <c r="M116" i="6"/>
  <c r="J116" i="6"/>
  <c r="P115" i="6"/>
  <c r="M115" i="6"/>
  <c r="J115" i="6"/>
  <c r="P114" i="6"/>
  <c r="M114" i="6"/>
  <c r="J114" i="6"/>
  <c r="P104" i="6"/>
  <c r="M104" i="6"/>
  <c r="J104" i="6"/>
  <c r="P103" i="6"/>
  <c r="M103" i="6"/>
  <c r="J103" i="6"/>
  <c r="P102" i="6"/>
  <c r="M102" i="6"/>
  <c r="J102" i="6"/>
  <c r="P101" i="6"/>
  <c r="M101" i="6"/>
  <c r="J101" i="6"/>
  <c r="P100" i="6"/>
  <c r="M100" i="6"/>
  <c r="J100" i="6"/>
  <c r="P99" i="6"/>
  <c r="M99" i="6"/>
  <c r="J99" i="6"/>
  <c r="P98" i="6"/>
  <c r="M98" i="6"/>
  <c r="J98" i="6"/>
  <c r="P97" i="6"/>
  <c r="M97" i="6"/>
  <c r="J97" i="6"/>
  <c r="P96" i="6"/>
  <c r="M96" i="6"/>
  <c r="J96" i="6"/>
  <c r="P95" i="6"/>
  <c r="M95" i="6"/>
  <c r="J95" i="6"/>
  <c r="P94" i="6"/>
  <c r="M94" i="6"/>
  <c r="J94" i="6"/>
  <c r="P93" i="6"/>
  <c r="M93" i="6"/>
  <c r="J93" i="6"/>
  <c r="P92" i="6"/>
  <c r="M92" i="6"/>
  <c r="J92" i="6"/>
  <c r="P91" i="6"/>
  <c r="M91" i="6"/>
  <c r="J91" i="6"/>
  <c r="P90" i="6"/>
  <c r="M90" i="6"/>
  <c r="J90" i="6"/>
  <c r="P89" i="6"/>
  <c r="M89" i="6"/>
  <c r="J89" i="6"/>
  <c r="P88" i="6"/>
  <c r="M88" i="6"/>
  <c r="J88" i="6"/>
  <c r="P87" i="6"/>
  <c r="M87" i="6"/>
  <c r="J87" i="6"/>
  <c r="P86" i="6"/>
  <c r="M86" i="6"/>
  <c r="J86" i="6"/>
  <c r="P85" i="6"/>
  <c r="M85" i="6"/>
  <c r="J85" i="6"/>
  <c r="P84" i="6"/>
  <c r="M84" i="6"/>
  <c r="J84" i="6"/>
  <c r="P83" i="6"/>
  <c r="M83" i="6"/>
  <c r="J83" i="6"/>
  <c r="P82" i="6"/>
  <c r="M82" i="6"/>
  <c r="J82" i="6"/>
  <c r="P81" i="6"/>
  <c r="M81" i="6"/>
  <c r="J81" i="6"/>
  <c r="P80" i="6"/>
  <c r="M80" i="6"/>
  <c r="J80" i="6"/>
  <c r="P79" i="6"/>
  <c r="M79" i="6"/>
  <c r="J79" i="6"/>
  <c r="P78" i="6"/>
  <c r="M78" i="6"/>
  <c r="J78" i="6"/>
  <c r="P77" i="6"/>
  <c r="M77" i="6"/>
  <c r="J77" i="6"/>
  <c r="P76" i="6"/>
  <c r="M76" i="6"/>
  <c r="J76" i="6"/>
  <c r="P75" i="6"/>
  <c r="M75" i="6"/>
  <c r="J75" i="6"/>
  <c r="P74" i="6"/>
  <c r="M74" i="6"/>
  <c r="J74" i="6"/>
  <c r="P73" i="6"/>
  <c r="M73" i="6"/>
  <c r="J73" i="6"/>
  <c r="P72" i="6"/>
  <c r="M72" i="6"/>
  <c r="J72" i="6"/>
  <c r="P71" i="6"/>
  <c r="M71" i="6"/>
  <c r="J71" i="6"/>
  <c r="P70" i="6"/>
  <c r="M70" i="6"/>
  <c r="J70" i="6"/>
  <c r="P69" i="6"/>
  <c r="M69" i="6"/>
  <c r="J69" i="6"/>
  <c r="P68" i="6"/>
  <c r="M68" i="6"/>
  <c r="J68" i="6"/>
  <c r="P67" i="6"/>
  <c r="M67" i="6"/>
  <c r="J67" i="6"/>
  <c r="P66" i="6"/>
  <c r="M66" i="6"/>
  <c r="J66" i="6"/>
  <c r="P65" i="6"/>
  <c r="M65" i="6"/>
  <c r="J65" i="6"/>
  <c r="P64" i="6"/>
  <c r="M64" i="6"/>
  <c r="J64" i="6"/>
  <c r="P63" i="6"/>
  <c r="M63" i="6"/>
  <c r="J63" i="6"/>
  <c r="P62" i="6"/>
  <c r="M62" i="6"/>
  <c r="J62" i="6"/>
  <c r="P61" i="6"/>
  <c r="M61" i="6"/>
  <c r="J61" i="6"/>
  <c r="P51" i="6"/>
  <c r="M51" i="6"/>
  <c r="J51" i="6"/>
  <c r="P50" i="6"/>
  <c r="M50" i="6"/>
  <c r="J50" i="6"/>
  <c r="P49" i="6"/>
  <c r="M49" i="6"/>
  <c r="J49" i="6"/>
  <c r="P48" i="6"/>
  <c r="M48" i="6"/>
  <c r="J48" i="6"/>
  <c r="P47" i="6"/>
  <c r="M47" i="6"/>
  <c r="J47" i="6"/>
  <c r="P46" i="6"/>
  <c r="M46" i="6"/>
  <c r="J46" i="6"/>
  <c r="P45" i="6"/>
  <c r="M45" i="6"/>
  <c r="J45" i="6"/>
  <c r="P44" i="6"/>
  <c r="M44" i="6"/>
  <c r="J44" i="6"/>
  <c r="P43" i="6"/>
  <c r="M43" i="6"/>
  <c r="J43" i="6"/>
  <c r="P42" i="6"/>
  <c r="M42" i="6"/>
  <c r="J42" i="6"/>
  <c r="P41" i="6"/>
  <c r="M41" i="6"/>
  <c r="J41" i="6"/>
  <c r="P40" i="6"/>
  <c r="M40" i="6"/>
  <c r="J40" i="6"/>
  <c r="P39" i="6"/>
  <c r="M39" i="6"/>
  <c r="J39" i="6"/>
  <c r="P38" i="6"/>
  <c r="M38" i="6"/>
  <c r="J38" i="6"/>
  <c r="P37" i="6"/>
  <c r="M37" i="6"/>
  <c r="J37" i="6"/>
  <c r="P36" i="6"/>
  <c r="M36" i="6"/>
  <c r="J36" i="6"/>
  <c r="P35" i="6"/>
  <c r="M35" i="6"/>
  <c r="J35" i="6"/>
  <c r="P34" i="6"/>
  <c r="M34" i="6"/>
  <c r="J34" i="6"/>
  <c r="P33" i="6"/>
  <c r="M33" i="6"/>
  <c r="J33" i="6"/>
  <c r="P32" i="6"/>
  <c r="M32" i="6"/>
  <c r="J32" i="6"/>
  <c r="P31" i="6"/>
  <c r="M31" i="6"/>
  <c r="J31" i="6"/>
  <c r="P30" i="6"/>
  <c r="M30" i="6"/>
  <c r="J30" i="6"/>
  <c r="P29" i="6"/>
  <c r="M29" i="6"/>
  <c r="J29" i="6"/>
  <c r="P28" i="6"/>
  <c r="M28" i="6"/>
  <c r="J28" i="6"/>
  <c r="P27" i="6"/>
  <c r="M27" i="6"/>
  <c r="J27" i="6"/>
  <c r="P26" i="6"/>
  <c r="M26" i="6"/>
  <c r="J26" i="6"/>
  <c r="P25" i="6"/>
  <c r="M25" i="6"/>
  <c r="J25" i="6"/>
  <c r="P24" i="6"/>
  <c r="M24" i="6"/>
  <c r="J24" i="6"/>
  <c r="P23" i="6"/>
  <c r="M23" i="6"/>
  <c r="J23" i="6"/>
  <c r="P22" i="6"/>
  <c r="M22" i="6"/>
  <c r="J22" i="6"/>
  <c r="P21" i="6"/>
  <c r="M21" i="6"/>
  <c r="J21" i="6"/>
  <c r="P20" i="6"/>
  <c r="M20" i="6"/>
  <c r="J20" i="6"/>
  <c r="P19" i="6"/>
  <c r="M19" i="6"/>
  <c r="J19" i="6"/>
  <c r="P18" i="6"/>
  <c r="M18" i="6"/>
  <c r="J18" i="6"/>
  <c r="P17" i="6"/>
  <c r="M17" i="6"/>
  <c r="J17" i="6"/>
  <c r="P16" i="6"/>
  <c r="M16" i="6"/>
  <c r="J16" i="6"/>
  <c r="P15" i="6"/>
  <c r="M15" i="6"/>
  <c r="J15" i="6"/>
  <c r="P14" i="6"/>
  <c r="M14" i="6"/>
  <c r="J14" i="6"/>
  <c r="P13" i="6"/>
  <c r="M13" i="6"/>
  <c r="J13" i="6"/>
  <c r="P12" i="6"/>
  <c r="M12" i="6"/>
  <c r="J12" i="6"/>
  <c r="P11" i="6"/>
  <c r="M11" i="6"/>
  <c r="J11" i="6"/>
  <c r="P10" i="6"/>
  <c r="M10" i="6"/>
  <c r="J10" i="6"/>
  <c r="P9" i="6"/>
  <c r="M9" i="6"/>
  <c r="J9" i="6"/>
  <c r="P8" i="6"/>
  <c r="M8" i="6"/>
  <c r="J8" i="6"/>
  <c r="P7" i="6"/>
  <c r="M7" i="6"/>
  <c r="J7" i="6"/>
  <c r="P6" i="6"/>
  <c r="M6" i="6"/>
  <c r="P215" i="5"/>
  <c r="M215" i="5"/>
  <c r="J215" i="5"/>
  <c r="P214" i="5"/>
  <c r="M214" i="5"/>
  <c r="J214" i="5"/>
  <c r="P213" i="5"/>
  <c r="M213" i="5"/>
  <c r="J213" i="5"/>
  <c r="P212" i="5"/>
  <c r="M212" i="5"/>
  <c r="J212" i="5"/>
  <c r="P211" i="5"/>
  <c r="M211" i="5"/>
  <c r="J211" i="5"/>
  <c r="P210" i="5"/>
  <c r="M210" i="5"/>
  <c r="J210" i="5"/>
  <c r="P209" i="5"/>
  <c r="M209" i="5"/>
  <c r="J209" i="5"/>
  <c r="P208" i="5"/>
  <c r="M208" i="5"/>
  <c r="J208" i="5"/>
  <c r="P207" i="5"/>
  <c r="M207" i="5"/>
  <c r="J207" i="5"/>
  <c r="P206" i="5"/>
  <c r="M206" i="5"/>
  <c r="J206" i="5"/>
  <c r="V206" i="5" s="1"/>
  <c r="R206" i="5" s="1"/>
  <c r="P205" i="5"/>
  <c r="M205" i="5"/>
  <c r="J205" i="5"/>
  <c r="P204" i="5"/>
  <c r="M204" i="5"/>
  <c r="J204" i="5"/>
  <c r="P203" i="5"/>
  <c r="M203" i="5"/>
  <c r="J203" i="5"/>
  <c r="P202" i="5"/>
  <c r="M202" i="5"/>
  <c r="J202" i="5"/>
  <c r="P201" i="5"/>
  <c r="M201" i="5"/>
  <c r="J201" i="5"/>
  <c r="P200" i="5"/>
  <c r="M200" i="5"/>
  <c r="J200" i="5"/>
  <c r="P199" i="5"/>
  <c r="M199" i="5"/>
  <c r="J199" i="5"/>
  <c r="P198" i="5"/>
  <c r="M198" i="5"/>
  <c r="J198" i="5"/>
  <c r="P197" i="5"/>
  <c r="M197" i="5"/>
  <c r="J197" i="5"/>
  <c r="P196" i="5"/>
  <c r="M196" i="5"/>
  <c r="J196" i="5"/>
  <c r="P195" i="5"/>
  <c r="M195" i="5"/>
  <c r="J195" i="5"/>
  <c r="P194" i="5"/>
  <c r="M194" i="5"/>
  <c r="J194" i="5"/>
  <c r="V194" i="5" s="1"/>
  <c r="R194" i="5" s="1"/>
  <c r="P193" i="5"/>
  <c r="M193" i="5"/>
  <c r="J193" i="5"/>
  <c r="V193" i="5" s="1"/>
  <c r="R193" i="5" s="1"/>
  <c r="P192" i="5"/>
  <c r="M192" i="5"/>
  <c r="J192" i="5"/>
  <c r="P191" i="5"/>
  <c r="M191" i="5"/>
  <c r="J191" i="5"/>
  <c r="P190" i="5"/>
  <c r="M190" i="5"/>
  <c r="J190" i="5"/>
  <c r="P189" i="5"/>
  <c r="M189" i="5"/>
  <c r="J189" i="5"/>
  <c r="V189" i="5" s="1"/>
  <c r="R189" i="5" s="1"/>
  <c r="P188" i="5"/>
  <c r="M188" i="5"/>
  <c r="J188" i="5"/>
  <c r="P187" i="5"/>
  <c r="M187" i="5"/>
  <c r="J187" i="5"/>
  <c r="P186" i="5"/>
  <c r="M186" i="5"/>
  <c r="J186" i="5"/>
  <c r="P185" i="5"/>
  <c r="M185" i="5"/>
  <c r="J185" i="5"/>
  <c r="P184" i="5"/>
  <c r="M184" i="5"/>
  <c r="J184" i="5"/>
  <c r="P183" i="5"/>
  <c r="M183" i="5"/>
  <c r="J183" i="5"/>
  <c r="P182" i="5"/>
  <c r="M182" i="5"/>
  <c r="J182" i="5"/>
  <c r="P181" i="5"/>
  <c r="M181" i="5"/>
  <c r="J181" i="5"/>
  <c r="P180" i="5"/>
  <c r="M180" i="5"/>
  <c r="J180" i="5"/>
  <c r="P179" i="5"/>
  <c r="M179" i="5"/>
  <c r="J179" i="5"/>
  <c r="P178" i="5"/>
  <c r="M178" i="5"/>
  <c r="J178" i="5"/>
  <c r="P177" i="5"/>
  <c r="M177" i="5"/>
  <c r="J177" i="5"/>
  <c r="P176" i="5"/>
  <c r="M176" i="5"/>
  <c r="J176" i="5"/>
  <c r="P175" i="5"/>
  <c r="M175" i="5"/>
  <c r="J175" i="5"/>
  <c r="P174" i="5"/>
  <c r="M174" i="5"/>
  <c r="J174" i="5"/>
  <c r="P173" i="5"/>
  <c r="M173" i="5"/>
  <c r="J173" i="5"/>
  <c r="V173" i="5" s="1"/>
  <c r="R173" i="5" s="1"/>
  <c r="P172" i="5"/>
  <c r="M172" i="5"/>
  <c r="J172" i="5"/>
  <c r="P171" i="5"/>
  <c r="M171" i="5"/>
  <c r="J171" i="5"/>
  <c r="P170" i="5"/>
  <c r="M170" i="5"/>
  <c r="J170" i="5"/>
  <c r="P159" i="5"/>
  <c r="M159" i="5"/>
  <c r="J159" i="5"/>
  <c r="V159" i="5" s="1"/>
  <c r="R159" i="5" s="1"/>
  <c r="P158" i="5"/>
  <c r="M158" i="5"/>
  <c r="J158" i="5"/>
  <c r="P157" i="5"/>
  <c r="M157" i="5"/>
  <c r="J157" i="5"/>
  <c r="P156" i="5"/>
  <c r="M156" i="5"/>
  <c r="J156" i="5"/>
  <c r="P155" i="5"/>
  <c r="M155" i="5"/>
  <c r="J155" i="5"/>
  <c r="P154" i="5"/>
  <c r="M154" i="5"/>
  <c r="J154" i="5"/>
  <c r="V154" i="5" s="1"/>
  <c r="R154" i="5" s="1"/>
  <c r="P153" i="5"/>
  <c r="M153" i="5"/>
  <c r="J153" i="5"/>
  <c r="P152" i="5"/>
  <c r="M152" i="5"/>
  <c r="J152" i="5"/>
  <c r="P151" i="5"/>
  <c r="M151" i="5"/>
  <c r="J151" i="5"/>
  <c r="P150" i="5"/>
  <c r="M150" i="5"/>
  <c r="J150" i="5"/>
  <c r="P149" i="5"/>
  <c r="M149" i="5"/>
  <c r="J149" i="5"/>
  <c r="P148" i="5"/>
  <c r="M148" i="5"/>
  <c r="J148" i="5"/>
  <c r="P147" i="5"/>
  <c r="M147" i="5"/>
  <c r="J147" i="5"/>
  <c r="V147" i="5" s="1"/>
  <c r="R147" i="5" s="1"/>
  <c r="P146" i="5"/>
  <c r="M146" i="5"/>
  <c r="J146" i="5"/>
  <c r="P145" i="5"/>
  <c r="M145" i="5"/>
  <c r="J145" i="5"/>
  <c r="P144" i="5"/>
  <c r="M144" i="5"/>
  <c r="J144" i="5"/>
  <c r="P143" i="5"/>
  <c r="M143" i="5"/>
  <c r="J143" i="5"/>
  <c r="V143" i="5" s="1"/>
  <c r="R143" i="5" s="1"/>
  <c r="P142" i="5"/>
  <c r="V142" i="5" s="1"/>
  <c r="R142" i="5" s="1"/>
  <c r="M142" i="5"/>
  <c r="J142" i="5"/>
  <c r="P141" i="5"/>
  <c r="M141" i="5"/>
  <c r="J141" i="5"/>
  <c r="V141" i="5" s="1"/>
  <c r="R141" i="5" s="1"/>
  <c r="P140" i="5"/>
  <c r="M140" i="5"/>
  <c r="J140" i="5"/>
  <c r="P139" i="5"/>
  <c r="M139" i="5"/>
  <c r="J139" i="5"/>
  <c r="P138" i="5"/>
  <c r="M138" i="5"/>
  <c r="J138" i="5"/>
  <c r="V138" i="5" s="1"/>
  <c r="R138" i="5" s="1"/>
  <c r="P137" i="5"/>
  <c r="M137" i="5"/>
  <c r="J137" i="5"/>
  <c r="P136" i="5"/>
  <c r="M136" i="5"/>
  <c r="J136" i="5"/>
  <c r="P135" i="5"/>
  <c r="M135" i="5"/>
  <c r="J135" i="5"/>
  <c r="P134" i="5"/>
  <c r="M134" i="5"/>
  <c r="J134" i="5"/>
  <c r="P133" i="5"/>
  <c r="M133" i="5"/>
  <c r="J133" i="5"/>
  <c r="P132" i="5"/>
  <c r="M132" i="5"/>
  <c r="J132" i="5"/>
  <c r="P131" i="5"/>
  <c r="M131" i="5"/>
  <c r="J131" i="5"/>
  <c r="P130" i="5"/>
  <c r="M130" i="5"/>
  <c r="J130" i="5"/>
  <c r="P129" i="5"/>
  <c r="M129" i="5"/>
  <c r="J129" i="5"/>
  <c r="P128" i="5"/>
  <c r="M128" i="5"/>
  <c r="J128" i="5"/>
  <c r="P127" i="5"/>
  <c r="M127" i="5"/>
  <c r="J127" i="5"/>
  <c r="P126" i="5"/>
  <c r="M126" i="5"/>
  <c r="J126" i="5"/>
  <c r="V126" i="5" s="1"/>
  <c r="R126" i="5" s="1"/>
  <c r="P125" i="5"/>
  <c r="M125" i="5"/>
  <c r="J125" i="5"/>
  <c r="V125" i="5" s="1"/>
  <c r="R125" i="5" s="1"/>
  <c r="P124" i="5"/>
  <c r="M124" i="5"/>
  <c r="J124" i="5"/>
  <c r="P123" i="5"/>
  <c r="M123" i="5"/>
  <c r="J123" i="5"/>
  <c r="P122" i="5"/>
  <c r="M122" i="5"/>
  <c r="J122" i="5"/>
  <c r="P121" i="5"/>
  <c r="M121" i="5"/>
  <c r="J121" i="5"/>
  <c r="P120" i="5"/>
  <c r="M120" i="5"/>
  <c r="J120" i="5"/>
  <c r="P119" i="5"/>
  <c r="M119" i="5"/>
  <c r="J119" i="5"/>
  <c r="P118" i="5"/>
  <c r="M118" i="5"/>
  <c r="J118" i="5"/>
  <c r="P117" i="5"/>
  <c r="M117" i="5"/>
  <c r="J117" i="5"/>
  <c r="P116" i="5"/>
  <c r="M116" i="5"/>
  <c r="J116" i="5"/>
  <c r="P115" i="5"/>
  <c r="M115" i="5"/>
  <c r="J115" i="5"/>
  <c r="P114" i="5"/>
  <c r="M114" i="5"/>
  <c r="J114" i="5"/>
  <c r="P103" i="5"/>
  <c r="M103" i="5"/>
  <c r="J103" i="5"/>
  <c r="P102" i="5"/>
  <c r="M102" i="5"/>
  <c r="J102" i="5"/>
  <c r="P101" i="5"/>
  <c r="M101" i="5"/>
  <c r="J101" i="5"/>
  <c r="P100" i="5"/>
  <c r="M100" i="5"/>
  <c r="J100" i="5"/>
  <c r="P99" i="5"/>
  <c r="M99" i="5"/>
  <c r="J99" i="5"/>
  <c r="P98" i="5"/>
  <c r="M98" i="5"/>
  <c r="J98" i="5"/>
  <c r="P97" i="5"/>
  <c r="M97" i="5"/>
  <c r="J97" i="5"/>
  <c r="P96" i="5"/>
  <c r="M96" i="5"/>
  <c r="J96" i="5"/>
  <c r="P95" i="5"/>
  <c r="M95" i="5"/>
  <c r="J95" i="5"/>
  <c r="P94" i="5"/>
  <c r="M94" i="5"/>
  <c r="J94" i="5"/>
  <c r="P93" i="5"/>
  <c r="M93" i="5"/>
  <c r="J93" i="5"/>
  <c r="P92" i="5"/>
  <c r="M92" i="5"/>
  <c r="J92" i="5"/>
  <c r="P91" i="5"/>
  <c r="M91" i="5"/>
  <c r="J91" i="5"/>
  <c r="P90" i="5"/>
  <c r="M90" i="5"/>
  <c r="J90" i="5"/>
  <c r="P89" i="5"/>
  <c r="M89" i="5"/>
  <c r="J89" i="5"/>
  <c r="P88" i="5"/>
  <c r="M88" i="5"/>
  <c r="J88" i="5"/>
  <c r="P87" i="5"/>
  <c r="M87" i="5"/>
  <c r="J87" i="5"/>
  <c r="P86" i="5"/>
  <c r="M86" i="5"/>
  <c r="J86" i="5"/>
  <c r="P85" i="5"/>
  <c r="M85" i="5"/>
  <c r="J85" i="5"/>
  <c r="P84" i="5"/>
  <c r="M84" i="5"/>
  <c r="J84" i="5"/>
  <c r="P83" i="5"/>
  <c r="M83" i="5"/>
  <c r="J83" i="5"/>
  <c r="P82" i="5"/>
  <c r="M82" i="5"/>
  <c r="J82" i="5"/>
  <c r="P81" i="5"/>
  <c r="M81" i="5"/>
  <c r="J81" i="5"/>
  <c r="P80" i="5"/>
  <c r="M80" i="5"/>
  <c r="J80" i="5"/>
  <c r="P79" i="5"/>
  <c r="M79" i="5"/>
  <c r="J79" i="5"/>
  <c r="P78" i="5"/>
  <c r="M78" i="5"/>
  <c r="J78" i="5"/>
  <c r="P77" i="5"/>
  <c r="M77" i="5"/>
  <c r="J77" i="5"/>
  <c r="P76" i="5"/>
  <c r="M76" i="5"/>
  <c r="J76" i="5"/>
  <c r="P75" i="5"/>
  <c r="M75" i="5"/>
  <c r="J75" i="5"/>
  <c r="P74" i="5"/>
  <c r="M74" i="5"/>
  <c r="J74" i="5"/>
  <c r="P73" i="5"/>
  <c r="M73" i="5"/>
  <c r="J73" i="5"/>
  <c r="P72" i="5"/>
  <c r="M72" i="5"/>
  <c r="J72" i="5"/>
  <c r="P71" i="5"/>
  <c r="M71" i="5"/>
  <c r="J71" i="5"/>
  <c r="P70" i="5"/>
  <c r="M70" i="5"/>
  <c r="J70" i="5"/>
  <c r="P69" i="5"/>
  <c r="M69" i="5"/>
  <c r="J69" i="5"/>
  <c r="P68" i="5"/>
  <c r="M68" i="5"/>
  <c r="J68" i="5"/>
  <c r="P67" i="5"/>
  <c r="M67" i="5"/>
  <c r="J67" i="5"/>
  <c r="P66" i="5"/>
  <c r="M66" i="5"/>
  <c r="J66" i="5"/>
  <c r="P65" i="5"/>
  <c r="M65" i="5"/>
  <c r="J65" i="5"/>
  <c r="P64" i="5"/>
  <c r="M64" i="5"/>
  <c r="J64" i="5"/>
  <c r="P63" i="5"/>
  <c r="M63" i="5"/>
  <c r="J63" i="5"/>
  <c r="P62" i="5"/>
  <c r="M62" i="5"/>
  <c r="J62" i="5"/>
  <c r="P61" i="5"/>
  <c r="M61" i="5"/>
  <c r="J61" i="5"/>
  <c r="P51" i="5"/>
  <c r="M51" i="5"/>
  <c r="J51" i="5"/>
  <c r="P50" i="5"/>
  <c r="M50" i="5"/>
  <c r="J50" i="5"/>
  <c r="P49" i="5"/>
  <c r="M49" i="5"/>
  <c r="J49" i="5"/>
  <c r="P48" i="5"/>
  <c r="M48" i="5"/>
  <c r="J48" i="5"/>
  <c r="P47" i="5"/>
  <c r="M47" i="5"/>
  <c r="J47" i="5"/>
  <c r="P46" i="5"/>
  <c r="M46" i="5"/>
  <c r="J46" i="5"/>
  <c r="P45" i="5"/>
  <c r="M45" i="5"/>
  <c r="J45" i="5"/>
  <c r="V45" i="5" s="1"/>
  <c r="R45" i="5" s="1"/>
  <c r="P44" i="5"/>
  <c r="M44" i="5"/>
  <c r="J44" i="5"/>
  <c r="P43" i="5"/>
  <c r="M43" i="5"/>
  <c r="J43" i="5"/>
  <c r="P42" i="5"/>
  <c r="M42" i="5"/>
  <c r="J42" i="5"/>
  <c r="P41" i="5"/>
  <c r="M41" i="5"/>
  <c r="J41" i="5"/>
  <c r="P40" i="5"/>
  <c r="M40" i="5"/>
  <c r="J40" i="5"/>
  <c r="P39" i="5"/>
  <c r="M39" i="5"/>
  <c r="J39" i="5"/>
  <c r="P38" i="5"/>
  <c r="M38" i="5"/>
  <c r="J38" i="5"/>
  <c r="P37" i="5"/>
  <c r="M37" i="5"/>
  <c r="J37" i="5"/>
  <c r="P36" i="5"/>
  <c r="M36" i="5"/>
  <c r="J36" i="5"/>
  <c r="P35" i="5"/>
  <c r="M35" i="5"/>
  <c r="J35" i="5"/>
  <c r="P34" i="5"/>
  <c r="M34" i="5"/>
  <c r="J34" i="5"/>
  <c r="P33" i="5"/>
  <c r="M33" i="5"/>
  <c r="J33" i="5"/>
  <c r="P32" i="5"/>
  <c r="M32" i="5"/>
  <c r="J32" i="5"/>
  <c r="P31" i="5"/>
  <c r="M31" i="5"/>
  <c r="J31" i="5"/>
  <c r="P30" i="5"/>
  <c r="M30" i="5"/>
  <c r="J30" i="5"/>
  <c r="P29" i="5"/>
  <c r="M29" i="5"/>
  <c r="J29" i="5"/>
  <c r="P28" i="5"/>
  <c r="M28" i="5"/>
  <c r="J28" i="5"/>
  <c r="P27" i="5"/>
  <c r="M27" i="5"/>
  <c r="J27" i="5"/>
  <c r="P26" i="5"/>
  <c r="M26" i="5"/>
  <c r="J26" i="5"/>
  <c r="P25" i="5"/>
  <c r="M25" i="5"/>
  <c r="J25" i="5"/>
  <c r="P24" i="5"/>
  <c r="M24" i="5"/>
  <c r="J24" i="5"/>
  <c r="P23" i="5"/>
  <c r="M23" i="5"/>
  <c r="J23" i="5"/>
  <c r="P22" i="5"/>
  <c r="M22" i="5"/>
  <c r="J22" i="5"/>
  <c r="P21" i="5"/>
  <c r="M21" i="5"/>
  <c r="J21" i="5"/>
  <c r="P20" i="5"/>
  <c r="M20" i="5"/>
  <c r="J20" i="5"/>
  <c r="P19" i="5"/>
  <c r="M19" i="5"/>
  <c r="J19" i="5"/>
  <c r="P18" i="5"/>
  <c r="M18" i="5"/>
  <c r="J18" i="5"/>
  <c r="P17" i="5"/>
  <c r="M17" i="5"/>
  <c r="J17" i="5"/>
  <c r="P16" i="5"/>
  <c r="M16" i="5"/>
  <c r="J16" i="5"/>
  <c r="P15" i="5"/>
  <c r="M15" i="5"/>
  <c r="J15" i="5"/>
  <c r="P14" i="5"/>
  <c r="M14" i="5"/>
  <c r="J14" i="5"/>
  <c r="P13" i="5"/>
  <c r="M13" i="5"/>
  <c r="J13" i="5"/>
  <c r="P12" i="5"/>
  <c r="M12" i="5"/>
  <c r="J12" i="5"/>
  <c r="P11" i="5"/>
  <c r="M11" i="5"/>
  <c r="J11" i="5"/>
  <c r="P10" i="5"/>
  <c r="M10" i="5"/>
  <c r="J10" i="5"/>
  <c r="P9" i="5"/>
  <c r="M9" i="5"/>
  <c r="J9" i="5"/>
  <c r="P8" i="5"/>
  <c r="M8" i="5"/>
  <c r="J8" i="5"/>
  <c r="P7" i="5"/>
  <c r="M7" i="5"/>
  <c r="J7" i="5"/>
  <c r="P6" i="5"/>
  <c r="M6" i="5"/>
  <c r="P51" i="4"/>
  <c r="M51" i="4"/>
  <c r="P50" i="4"/>
  <c r="M50" i="4"/>
  <c r="P49" i="4"/>
  <c r="M49" i="4"/>
  <c r="J49" i="4"/>
  <c r="P48" i="4"/>
  <c r="M48" i="4"/>
  <c r="J48" i="4"/>
  <c r="P47" i="4"/>
  <c r="M47" i="4"/>
  <c r="J47" i="4"/>
  <c r="P46" i="4"/>
  <c r="M46" i="4"/>
  <c r="J46" i="4"/>
  <c r="P45" i="4"/>
  <c r="M45" i="4"/>
  <c r="J45" i="4"/>
  <c r="V45" i="4" s="1"/>
  <c r="R45" i="4" s="1"/>
  <c r="P44" i="4"/>
  <c r="M44" i="4"/>
  <c r="J44" i="4"/>
  <c r="V44" i="4" s="1"/>
  <c r="R44" i="4" s="1"/>
  <c r="P43" i="4"/>
  <c r="M43" i="4"/>
  <c r="J43" i="4"/>
  <c r="P42" i="4"/>
  <c r="M42" i="4"/>
  <c r="J42" i="4"/>
  <c r="P41" i="4"/>
  <c r="M41" i="4"/>
  <c r="J41" i="4"/>
  <c r="P40" i="4"/>
  <c r="M40" i="4"/>
  <c r="J40" i="4"/>
  <c r="P39" i="4"/>
  <c r="M39" i="4"/>
  <c r="J39" i="4"/>
  <c r="P38" i="4"/>
  <c r="M38" i="4"/>
  <c r="J38" i="4"/>
  <c r="P37" i="4"/>
  <c r="M37" i="4"/>
  <c r="J37" i="4"/>
  <c r="P36" i="4"/>
  <c r="M36" i="4"/>
  <c r="J36" i="4"/>
  <c r="P35" i="4"/>
  <c r="M35" i="4"/>
  <c r="J35" i="4"/>
  <c r="P34" i="4"/>
  <c r="M34" i="4"/>
  <c r="J34" i="4"/>
  <c r="P33" i="4"/>
  <c r="M33" i="4"/>
  <c r="J33" i="4"/>
  <c r="P32" i="4"/>
  <c r="M32" i="4"/>
  <c r="J32" i="4"/>
  <c r="P31" i="4"/>
  <c r="M31" i="4"/>
  <c r="J31" i="4"/>
  <c r="P30" i="4"/>
  <c r="M30" i="4"/>
  <c r="J30" i="4"/>
  <c r="P29" i="4"/>
  <c r="M29" i="4"/>
  <c r="J29" i="4"/>
  <c r="P28" i="4"/>
  <c r="M28" i="4"/>
  <c r="J28" i="4"/>
  <c r="P27" i="4"/>
  <c r="M27" i="4"/>
  <c r="J27" i="4"/>
  <c r="P26" i="4"/>
  <c r="M26" i="4"/>
  <c r="J26" i="4"/>
  <c r="P25" i="4"/>
  <c r="M25" i="4"/>
  <c r="J25" i="4"/>
  <c r="P24" i="4"/>
  <c r="M24" i="4"/>
  <c r="J24" i="4"/>
  <c r="P23" i="4"/>
  <c r="M23" i="4"/>
  <c r="J23" i="4"/>
  <c r="P22" i="4"/>
  <c r="M22" i="4"/>
  <c r="J22" i="4"/>
  <c r="P21" i="4"/>
  <c r="M21" i="4"/>
  <c r="J21" i="4"/>
  <c r="P20" i="4"/>
  <c r="M20" i="4"/>
  <c r="J20" i="4"/>
  <c r="P19" i="4"/>
  <c r="M19" i="4"/>
  <c r="J19" i="4"/>
  <c r="P18" i="4"/>
  <c r="M18" i="4"/>
  <c r="J18" i="4"/>
  <c r="P17" i="4"/>
  <c r="M17" i="4"/>
  <c r="J17" i="4"/>
  <c r="P16" i="4"/>
  <c r="M16" i="4"/>
  <c r="J16" i="4"/>
  <c r="P15" i="4"/>
  <c r="M15" i="4"/>
  <c r="J15" i="4"/>
  <c r="P14" i="4"/>
  <c r="M14" i="4"/>
  <c r="J14" i="4"/>
  <c r="P13" i="4"/>
  <c r="M13" i="4"/>
  <c r="J13" i="4"/>
  <c r="P12" i="4"/>
  <c r="M12" i="4"/>
  <c r="J12" i="4"/>
  <c r="P11" i="4"/>
  <c r="M11" i="4"/>
  <c r="J11" i="4"/>
  <c r="P10" i="4"/>
  <c r="M10" i="4"/>
  <c r="J10" i="4"/>
  <c r="P9" i="4"/>
  <c r="M9" i="4"/>
  <c r="J9" i="4"/>
  <c r="P8" i="4"/>
  <c r="M8" i="4"/>
  <c r="J8" i="4"/>
  <c r="P7" i="4"/>
  <c r="M7" i="4"/>
  <c r="J7" i="4"/>
  <c r="P6" i="4"/>
  <c r="M6" i="4"/>
  <c r="J6" i="4"/>
  <c r="P103" i="4"/>
  <c r="M103" i="4"/>
  <c r="J103" i="4"/>
  <c r="P102" i="4"/>
  <c r="M102" i="4"/>
  <c r="J102" i="4"/>
  <c r="P101" i="4"/>
  <c r="M101" i="4"/>
  <c r="J101" i="4"/>
  <c r="P100" i="4"/>
  <c r="M100" i="4"/>
  <c r="J100" i="4"/>
  <c r="P99" i="4"/>
  <c r="M99" i="4"/>
  <c r="J99" i="4"/>
  <c r="V99" i="4" s="1"/>
  <c r="R99" i="4" s="1"/>
  <c r="P98" i="4"/>
  <c r="V98" i="4" s="1"/>
  <c r="R98" i="4" s="1"/>
  <c r="M98" i="4"/>
  <c r="J98" i="4"/>
  <c r="P97" i="4"/>
  <c r="M97" i="4"/>
  <c r="J97" i="4"/>
  <c r="P96" i="4"/>
  <c r="M96" i="4"/>
  <c r="J96" i="4"/>
  <c r="P95" i="4"/>
  <c r="M95" i="4"/>
  <c r="J95" i="4"/>
  <c r="P94" i="4"/>
  <c r="M94" i="4"/>
  <c r="J94" i="4"/>
  <c r="V94" i="4" s="1"/>
  <c r="R94" i="4" s="1"/>
  <c r="P93" i="4"/>
  <c r="M93" i="4"/>
  <c r="J93" i="4"/>
  <c r="P92" i="4"/>
  <c r="M92" i="4"/>
  <c r="J92" i="4"/>
  <c r="P91" i="4"/>
  <c r="M91" i="4"/>
  <c r="J91" i="4"/>
  <c r="P90" i="4"/>
  <c r="M90" i="4"/>
  <c r="J90" i="4"/>
  <c r="P89" i="4"/>
  <c r="M89" i="4"/>
  <c r="J89" i="4"/>
  <c r="P88" i="4"/>
  <c r="M88" i="4"/>
  <c r="J88" i="4"/>
  <c r="P87" i="4"/>
  <c r="M87" i="4"/>
  <c r="J87" i="4"/>
  <c r="P86" i="4"/>
  <c r="M86" i="4"/>
  <c r="J86" i="4"/>
  <c r="V86" i="4" s="1"/>
  <c r="R86" i="4" s="1"/>
  <c r="P85" i="4"/>
  <c r="M85" i="4"/>
  <c r="J85" i="4"/>
  <c r="P84" i="4"/>
  <c r="M84" i="4"/>
  <c r="J84" i="4"/>
  <c r="P83" i="4"/>
  <c r="M83" i="4"/>
  <c r="J83" i="4"/>
  <c r="V83" i="4" s="1"/>
  <c r="R83" i="4" s="1"/>
  <c r="P82" i="4"/>
  <c r="V82" i="4" s="1"/>
  <c r="R82" i="4" s="1"/>
  <c r="M82" i="4"/>
  <c r="J82" i="4"/>
  <c r="P81" i="4"/>
  <c r="M81" i="4"/>
  <c r="J81" i="4"/>
  <c r="P80" i="4"/>
  <c r="M80" i="4"/>
  <c r="J80" i="4"/>
  <c r="P79" i="4"/>
  <c r="M79" i="4"/>
  <c r="J79" i="4"/>
  <c r="P78" i="4"/>
  <c r="M78" i="4"/>
  <c r="J78" i="4"/>
  <c r="V78" i="4" s="1"/>
  <c r="R78" i="4" s="1"/>
  <c r="P77" i="4"/>
  <c r="M77" i="4"/>
  <c r="J77" i="4"/>
  <c r="P76" i="4"/>
  <c r="M76" i="4"/>
  <c r="J76" i="4"/>
  <c r="P75" i="4"/>
  <c r="M75" i="4"/>
  <c r="J75" i="4"/>
  <c r="P74" i="4"/>
  <c r="M74" i="4"/>
  <c r="J74" i="4"/>
  <c r="P73" i="4"/>
  <c r="M73" i="4"/>
  <c r="J73" i="4"/>
  <c r="P72" i="4"/>
  <c r="M72" i="4"/>
  <c r="J72" i="4"/>
  <c r="P71" i="4"/>
  <c r="M71" i="4"/>
  <c r="J71" i="4"/>
  <c r="P70" i="4"/>
  <c r="M70" i="4"/>
  <c r="J70" i="4"/>
  <c r="V70" i="4" s="1"/>
  <c r="R70" i="4" s="1"/>
  <c r="P69" i="4"/>
  <c r="M69" i="4"/>
  <c r="J69" i="4"/>
  <c r="P68" i="4"/>
  <c r="M68" i="4"/>
  <c r="J68" i="4"/>
  <c r="P67" i="4"/>
  <c r="M67" i="4"/>
  <c r="J67" i="4"/>
  <c r="P66" i="4"/>
  <c r="M66" i="4"/>
  <c r="J66" i="4"/>
  <c r="V66" i="4" s="1"/>
  <c r="R66" i="4" s="1"/>
  <c r="P65" i="4"/>
  <c r="M65" i="4"/>
  <c r="J65" i="4"/>
  <c r="P64" i="4"/>
  <c r="M64" i="4"/>
  <c r="J64" i="4"/>
  <c r="P63" i="4"/>
  <c r="M63" i="4"/>
  <c r="J63" i="4"/>
  <c r="P62" i="4"/>
  <c r="M62" i="4"/>
  <c r="J62" i="4"/>
  <c r="P61" i="4"/>
  <c r="M61" i="4"/>
  <c r="J61" i="4"/>
  <c r="P159" i="4"/>
  <c r="M159" i="4"/>
  <c r="J159" i="4"/>
  <c r="P158" i="4"/>
  <c r="M158" i="4"/>
  <c r="J158" i="4"/>
  <c r="P157" i="4"/>
  <c r="M157" i="4"/>
  <c r="J157" i="4"/>
  <c r="P156" i="4"/>
  <c r="M156" i="4"/>
  <c r="J156" i="4"/>
  <c r="P155" i="4"/>
  <c r="M155" i="4"/>
  <c r="J155" i="4"/>
  <c r="P154" i="4"/>
  <c r="M154" i="4"/>
  <c r="J154" i="4"/>
  <c r="P153" i="4"/>
  <c r="M153" i="4"/>
  <c r="J153" i="4"/>
  <c r="P152" i="4"/>
  <c r="M152" i="4"/>
  <c r="J152" i="4"/>
  <c r="P151" i="4"/>
  <c r="M151" i="4"/>
  <c r="J151" i="4"/>
  <c r="P150" i="4"/>
  <c r="M150" i="4"/>
  <c r="J150" i="4"/>
  <c r="P149" i="4"/>
  <c r="M149" i="4"/>
  <c r="J149" i="4"/>
  <c r="V149" i="4" s="1"/>
  <c r="R149" i="4" s="1"/>
  <c r="P148" i="4"/>
  <c r="M148" i="4"/>
  <c r="J148" i="4"/>
  <c r="P147" i="4"/>
  <c r="M147" i="4"/>
  <c r="J147" i="4"/>
  <c r="P146" i="4"/>
  <c r="M146" i="4"/>
  <c r="J146" i="4"/>
  <c r="P145" i="4"/>
  <c r="M145" i="4"/>
  <c r="J145" i="4"/>
  <c r="P144" i="4"/>
  <c r="M144" i="4"/>
  <c r="J144" i="4"/>
  <c r="P143" i="4"/>
  <c r="M143" i="4"/>
  <c r="J143" i="4"/>
  <c r="P142" i="4"/>
  <c r="M142" i="4"/>
  <c r="J142" i="4"/>
  <c r="P141" i="4"/>
  <c r="M141" i="4"/>
  <c r="J141" i="4"/>
  <c r="P140" i="4"/>
  <c r="M140" i="4"/>
  <c r="J140" i="4"/>
  <c r="P139" i="4"/>
  <c r="M139" i="4"/>
  <c r="J139" i="4"/>
  <c r="P138" i="4"/>
  <c r="M138" i="4"/>
  <c r="J138" i="4"/>
  <c r="P137" i="4"/>
  <c r="M137" i="4"/>
  <c r="J137" i="4"/>
  <c r="P136" i="4"/>
  <c r="M136" i="4"/>
  <c r="J136" i="4"/>
  <c r="P135" i="4"/>
  <c r="M135" i="4"/>
  <c r="J135" i="4"/>
  <c r="P134" i="4"/>
  <c r="M134" i="4"/>
  <c r="J134" i="4"/>
  <c r="V134" i="4" s="1"/>
  <c r="R134" i="4" s="1"/>
  <c r="P133" i="4"/>
  <c r="M133" i="4"/>
  <c r="J133" i="4"/>
  <c r="V133" i="4"/>
  <c r="R133" i="4" s="1"/>
  <c r="P132" i="4"/>
  <c r="M132" i="4"/>
  <c r="J132" i="4"/>
  <c r="P131" i="4"/>
  <c r="M131" i="4"/>
  <c r="J131" i="4"/>
  <c r="P130" i="4"/>
  <c r="M130" i="4"/>
  <c r="J130" i="4"/>
  <c r="P129" i="4"/>
  <c r="M129" i="4"/>
  <c r="J129" i="4"/>
  <c r="V129" i="4" s="1"/>
  <c r="R129" i="4" s="1"/>
  <c r="P128" i="4"/>
  <c r="M128" i="4"/>
  <c r="J128" i="4"/>
  <c r="P127" i="4"/>
  <c r="M127" i="4"/>
  <c r="J127" i="4"/>
  <c r="P126" i="4"/>
  <c r="M126" i="4"/>
  <c r="J126" i="4"/>
  <c r="P125" i="4"/>
  <c r="M125" i="4"/>
  <c r="J125" i="4"/>
  <c r="P124" i="4"/>
  <c r="M124" i="4"/>
  <c r="J124" i="4"/>
  <c r="P123" i="4"/>
  <c r="M123" i="4"/>
  <c r="J123" i="4"/>
  <c r="P122" i="4"/>
  <c r="M122" i="4"/>
  <c r="J122" i="4"/>
  <c r="P121" i="4"/>
  <c r="M121" i="4"/>
  <c r="J121" i="4"/>
  <c r="V121" i="4" s="1"/>
  <c r="R121" i="4" s="1"/>
  <c r="P120" i="4"/>
  <c r="M120" i="4"/>
  <c r="J120" i="4"/>
  <c r="P119" i="4"/>
  <c r="M119" i="4"/>
  <c r="J119" i="4"/>
  <c r="P118" i="4"/>
  <c r="M118" i="4"/>
  <c r="J118" i="4"/>
  <c r="P117" i="4"/>
  <c r="M117" i="4"/>
  <c r="J117" i="4"/>
  <c r="V117" i="4" s="1"/>
  <c r="R117" i="4" s="1"/>
  <c r="P116" i="4"/>
  <c r="M116" i="4"/>
  <c r="J116" i="4"/>
  <c r="P115" i="4"/>
  <c r="M115" i="4"/>
  <c r="J115" i="4"/>
  <c r="P114" i="4"/>
  <c r="M114" i="4"/>
  <c r="J114" i="4"/>
  <c r="P103" i="3"/>
  <c r="M103" i="3"/>
  <c r="J103" i="3"/>
  <c r="P102" i="3"/>
  <c r="M102" i="3"/>
  <c r="J102" i="3"/>
  <c r="P101" i="3"/>
  <c r="M101" i="3"/>
  <c r="J101" i="3"/>
  <c r="P100" i="3"/>
  <c r="M100" i="3"/>
  <c r="J100" i="3"/>
  <c r="P99" i="3"/>
  <c r="M99" i="3"/>
  <c r="J99" i="3"/>
  <c r="P98" i="3"/>
  <c r="M98" i="3"/>
  <c r="J98" i="3"/>
  <c r="P97" i="3"/>
  <c r="M97" i="3"/>
  <c r="J97" i="3"/>
  <c r="P96" i="3"/>
  <c r="M96" i="3"/>
  <c r="J96" i="3"/>
  <c r="P95" i="3"/>
  <c r="M95" i="3"/>
  <c r="J95" i="3"/>
  <c r="P94" i="3"/>
  <c r="M94" i="3"/>
  <c r="J94" i="3"/>
  <c r="P93" i="3"/>
  <c r="M93" i="3"/>
  <c r="J93" i="3"/>
  <c r="P92" i="3"/>
  <c r="M92" i="3"/>
  <c r="J92" i="3"/>
  <c r="P91" i="3"/>
  <c r="M91" i="3"/>
  <c r="J91" i="3"/>
  <c r="P90" i="3"/>
  <c r="M90" i="3"/>
  <c r="J90" i="3"/>
  <c r="P89" i="3"/>
  <c r="M89" i="3"/>
  <c r="J89" i="3"/>
  <c r="P88" i="3"/>
  <c r="M88" i="3"/>
  <c r="J88" i="3"/>
  <c r="P87" i="3"/>
  <c r="M87" i="3"/>
  <c r="J87" i="3"/>
  <c r="P86" i="3"/>
  <c r="M86" i="3"/>
  <c r="J86" i="3"/>
  <c r="P85" i="3"/>
  <c r="M85" i="3"/>
  <c r="J85" i="3"/>
  <c r="P84" i="3"/>
  <c r="M84" i="3"/>
  <c r="J84" i="3"/>
  <c r="V84" i="3" s="1"/>
  <c r="R84" i="3" s="1"/>
  <c r="P83" i="3"/>
  <c r="M83" i="3"/>
  <c r="J83" i="3"/>
  <c r="P82" i="3"/>
  <c r="M82" i="3"/>
  <c r="J82" i="3"/>
  <c r="P81" i="3"/>
  <c r="M81" i="3"/>
  <c r="V81" i="3" s="1"/>
  <c r="R81" i="3" s="1"/>
  <c r="J81" i="3"/>
  <c r="P80" i="3"/>
  <c r="M80" i="3"/>
  <c r="J80" i="3"/>
  <c r="P79" i="3"/>
  <c r="M79" i="3"/>
  <c r="J79" i="3"/>
  <c r="P78" i="3"/>
  <c r="M78" i="3"/>
  <c r="J78" i="3"/>
  <c r="P77" i="3"/>
  <c r="M77" i="3"/>
  <c r="J77" i="3"/>
  <c r="P76" i="3"/>
  <c r="M76" i="3"/>
  <c r="J76" i="3"/>
  <c r="P75" i="3"/>
  <c r="M75" i="3"/>
  <c r="J75" i="3"/>
  <c r="P74" i="3"/>
  <c r="M74" i="3"/>
  <c r="J74" i="3"/>
  <c r="P73" i="3"/>
  <c r="M73" i="3"/>
  <c r="J73" i="3"/>
  <c r="P72" i="3"/>
  <c r="M72" i="3"/>
  <c r="J72" i="3"/>
  <c r="P71" i="3"/>
  <c r="M71" i="3"/>
  <c r="J71" i="3"/>
  <c r="P70" i="3"/>
  <c r="M70" i="3"/>
  <c r="J70" i="3"/>
  <c r="P69" i="3"/>
  <c r="M69" i="3"/>
  <c r="J69" i="3"/>
  <c r="P68" i="3"/>
  <c r="M68" i="3"/>
  <c r="J68" i="3"/>
  <c r="V68" i="3" s="1"/>
  <c r="R68" i="3" s="1"/>
  <c r="P67" i="3"/>
  <c r="M67" i="3"/>
  <c r="J67" i="3"/>
  <c r="P66" i="3"/>
  <c r="M66" i="3"/>
  <c r="J66" i="3"/>
  <c r="P65" i="3"/>
  <c r="M65" i="3"/>
  <c r="V65" i="3" s="1"/>
  <c r="R65" i="3" s="1"/>
  <c r="J65" i="3"/>
  <c r="P64" i="3"/>
  <c r="M64" i="3"/>
  <c r="J64" i="3"/>
  <c r="P63" i="3"/>
  <c r="M63" i="3"/>
  <c r="J63" i="3"/>
  <c r="P62" i="3"/>
  <c r="M62" i="3"/>
  <c r="J62" i="3"/>
  <c r="P61" i="3"/>
  <c r="M61" i="3"/>
  <c r="J7" i="3"/>
  <c r="J8" i="3"/>
  <c r="J9" i="3"/>
  <c r="J10" i="3"/>
  <c r="J11" i="3"/>
  <c r="J12" i="3"/>
  <c r="J13" i="3"/>
  <c r="J14" i="3"/>
  <c r="J15" i="3"/>
  <c r="J16" i="3"/>
  <c r="J17" i="3"/>
  <c r="J18" i="3"/>
  <c r="V18" i="3" s="1"/>
  <c r="R18" i="3" s="1"/>
  <c r="J19" i="3"/>
  <c r="J20" i="3"/>
  <c r="J21" i="3"/>
  <c r="J22" i="3"/>
  <c r="J23" i="3"/>
  <c r="J24" i="3"/>
  <c r="J25" i="3"/>
  <c r="J26" i="3"/>
  <c r="V26" i="3" s="1"/>
  <c r="R26" i="3" s="1"/>
  <c r="J27" i="3"/>
  <c r="J28" i="3"/>
  <c r="J29" i="3"/>
  <c r="J30" i="3"/>
  <c r="J31" i="3"/>
  <c r="J32" i="3"/>
  <c r="J33" i="3"/>
  <c r="J34" i="3"/>
  <c r="V34" i="3" s="1"/>
  <c r="R34" i="3" s="1"/>
  <c r="J35" i="3"/>
  <c r="J36" i="3"/>
  <c r="J37" i="3"/>
  <c r="J38" i="3"/>
  <c r="J39" i="3"/>
  <c r="J40" i="3"/>
  <c r="J41" i="3"/>
  <c r="J42" i="3"/>
  <c r="V42" i="3" s="1"/>
  <c r="R42" i="3" s="1"/>
  <c r="J43" i="3"/>
  <c r="J44" i="3"/>
  <c r="J45" i="3"/>
  <c r="J46" i="3"/>
  <c r="J47" i="3"/>
  <c r="J48" i="3"/>
  <c r="J49" i="3"/>
  <c r="J50" i="3"/>
  <c r="V50" i="3" s="1"/>
  <c r="R50" i="3" s="1"/>
  <c r="J51" i="3"/>
  <c r="P7" i="3"/>
  <c r="P8" i="3"/>
  <c r="P9" i="3"/>
  <c r="P10" i="3"/>
  <c r="P11" i="3"/>
  <c r="P12" i="3"/>
  <c r="P13" i="3"/>
  <c r="V13" i="3" s="1"/>
  <c r="R13" i="3" s="1"/>
  <c r="P14" i="3"/>
  <c r="P15" i="3"/>
  <c r="P16" i="3"/>
  <c r="P17" i="3"/>
  <c r="P18" i="3"/>
  <c r="P19" i="3"/>
  <c r="P20" i="3"/>
  <c r="P21" i="3"/>
  <c r="V21" i="3" s="1"/>
  <c r="R21" i="3" s="1"/>
  <c r="P22" i="3"/>
  <c r="P23" i="3"/>
  <c r="P24" i="3"/>
  <c r="P25" i="3"/>
  <c r="P26" i="3"/>
  <c r="P27" i="3"/>
  <c r="P28" i="3"/>
  <c r="P29" i="3"/>
  <c r="V29" i="3" s="1"/>
  <c r="R29" i="3" s="1"/>
  <c r="P30" i="3"/>
  <c r="P31" i="3"/>
  <c r="P32" i="3"/>
  <c r="P33" i="3"/>
  <c r="P34" i="3"/>
  <c r="P35" i="3"/>
  <c r="P36" i="3"/>
  <c r="P37" i="3"/>
  <c r="V37" i="3" s="1"/>
  <c r="R37" i="3" s="1"/>
  <c r="P38" i="3"/>
  <c r="P39" i="3"/>
  <c r="P40" i="3"/>
  <c r="P41" i="3"/>
  <c r="P42" i="3"/>
  <c r="P43" i="3"/>
  <c r="P44" i="3"/>
  <c r="P45" i="3"/>
  <c r="V45" i="3" s="1"/>
  <c r="R45" i="3" s="1"/>
  <c r="P46" i="3"/>
  <c r="P47" i="3"/>
  <c r="P48" i="3"/>
  <c r="P49" i="3"/>
  <c r="P50" i="3"/>
  <c r="P51" i="3"/>
  <c r="P6" i="3"/>
  <c r="M7" i="3"/>
  <c r="M8" i="3"/>
  <c r="M9" i="3"/>
  <c r="M10" i="3"/>
  <c r="M11" i="3"/>
  <c r="M12" i="3"/>
  <c r="M13" i="3"/>
  <c r="M14" i="3"/>
  <c r="M15" i="3"/>
  <c r="V15" i="3" s="1"/>
  <c r="R15" i="3" s="1"/>
  <c r="M16" i="3"/>
  <c r="M17" i="3"/>
  <c r="M18" i="3"/>
  <c r="M19" i="3"/>
  <c r="M20" i="3"/>
  <c r="M21" i="3"/>
  <c r="M22" i="3"/>
  <c r="M23" i="3"/>
  <c r="V23" i="3" s="1"/>
  <c r="R23" i="3" s="1"/>
  <c r="M24" i="3"/>
  <c r="M25" i="3"/>
  <c r="M26" i="3"/>
  <c r="M27" i="3"/>
  <c r="M28" i="3"/>
  <c r="M29" i="3"/>
  <c r="M30" i="3"/>
  <c r="M31" i="3"/>
  <c r="V31" i="3" s="1"/>
  <c r="R31" i="3" s="1"/>
  <c r="M32" i="3"/>
  <c r="M33" i="3"/>
  <c r="M34" i="3"/>
  <c r="M35" i="3"/>
  <c r="M36" i="3"/>
  <c r="M37" i="3"/>
  <c r="M38" i="3"/>
  <c r="M39" i="3"/>
  <c r="V39" i="3" s="1"/>
  <c r="R39" i="3" s="1"/>
  <c r="M40" i="3"/>
  <c r="M41" i="3"/>
  <c r="M42" i="3"/>
  <c r="M43" i="3"/>
  <c r="M44" i="3"/>
  <c r="M45" i="3"/>
  <c r="M46" i="3"/>
  <c r="M47" i="3"/>
  <c r="V47" i="3" s="1"/>
  <c r="R47" i="3" s="1"/>
  <c r="M48" i="3"/>
  <c r="M49" i="3"/>
  <c r="M50" i="3"/>
  <c r="M51" i="3"/>
  <c r="M6" i="3"/>
  <c r="J6" i="3"/>
  <c r="V83" i="5" l="1"/>
  <c r="R83" i="5" s="1"/>
  <c r="V70" i="5"/>
  <c r="R70" i="5" s="1"/>
  <c r="V24" i="5"/>
  <c r="R24" i="5" s="1"/>
  <c r="V20" i="5"/>
  <c r="R20" i="5" s="1"/>
  <c r="V117" i="7"/>
  <c r="R117" i="7" s="1"/>
  <c r="V37" i="7"/>
  <c r="R37" i="7" s="1"/>
  <c r="V312" i="8"/>
  <c r="R312" i="8" s="1"/>
  <c r="V309" i="8"/>
  <c r="R309" i="8" s="1"/>
  <c r="V51" i="3"/>
  <c r="R51" i="3" s="1"/>
  <c r="V35" i="3"/>
  <c r="R35" i="3" s="1"/>
  <c r="V19" i="3"/>
  <c r="R19" i="3" s="1"/>
  <c r="V49" i="3"/>
  <c r="R49" i="3" s="1"/>
  <c r="V17" i="3"/>
  <c r="R17" i="3" s="1"/>
  <c r="V46" i="3"/>
  <c r="R46" i="3" s="1"/>
  <c r="V30" i="3"/>
  <c r="R30" i="3" s="1"/>
  <c r="V22" i="3"/>
  <c r="R22" i="3" s="1"/>
  <c r="V66" i="3"/>
  <c r="R66" i="3" s="1"/>
  <c r="V82" i="3"/>
  <c r="R82" i="3" s="1"/>
  <c r="V6" i="3"/>
  <c r="R6" i="3" s="1"/>
  <c r="V36" i="3"/>
  <c r="R36" i="3" s="1"/>
  <c r="V43" i="3"/>
  <c r="R43" i="3" s="1"/>
  <c r="V27" i="3"/>
  <c r="R27" i="3" s="1"/>
  <c r="V11" i="3"/>
  <c r="R11" i="3" s="1"/>
  <c r="V25" i="3"/>
  <c r="R25" i="3" s="1"/>
  <c r="V9" i="3"/>
  <c r="R9" i="3" s="1"/>
  <c r="V38" i="3"/>
  <c r="R38" i="3" s="1"/>
  <c r="V14" i="3"/>
  <c r="R14" i="3" s="1"/>
  <c r="V102" i="3"/>
  <c r="R102" i="3" s="1"/>
  <c r="V61" i="4"/>
  <c r="R61" i="4" s="1"/>
  <c r="V40" i="4"/>
  <c r="R40" i="4" s="1"/>
  <c r="V135" i="4"/>
  <c r="R135" i="4" s="1"/>
  <c r="V143" i="4"/>
  <c r="R143" i="4" s="1"/>
  <c r="V84" i="4"/>
  <c r="R84" i="4" s="1"/>
  <c r="V157" i="4"/>
  <c r="R157" i="4" s="1"/>
  <c r="V77" i="4"/>
  <c r="R77" i="4" s="1"/>
  <c r="V37" i="4"/>
  <c r="R37" i="4" s="1"/>
  <c r="V19" i="4"/>
  <c r="R19" i="4" s="1"/>
  <c r="V71" i="5"/>
  <c r="R71" i="5" s="1"/>
  <c r="V121" i="5"/>
  <c r="R121" i="5" s="1"/>
  <c r="V137" i="5"/>
  <c r="R137" i="5" s="1"/>
  <c r="V18" i="5"/>
  <c r="R18" i="5" s="1"/>
  <c r="V30" i="5"/>
  <c r="R30" i="5" s="1"/>
  <c r="V38" i="5"/>
  <c r="R38" i="5" s="1"/>
  <c r="V41" i="5"/>
  <c r="R41" i="5" s="1"/>
  <c r="V66" i="5"/>
  <c r="R66" i="5" s="1"/>
  <c r="V92" i="7"/>
  <c r="R92" i="7" s="1"/>
  <c r="V134" i="7"/>
  <c r="R134" i="7" s="1"/>
  <c r="V238" i="7"/>
  <c r="R238" i="7" s="1"/>
  <c r="V33" i="7"/>
  <c r="R33" i="7" s="1"/>
  <c r="V142" i="8"/>
  <c r="R142" i="8" s="1"/>
  <c r="V150" i="8"/>
  <c r="R150" i="8" s="1"/>
  <c r="V155" i="8"/>
  <c r="R155" i="8" s="1"/>
  <c r="V183" i="8"/>
  <c r="R183" i="8" s="1"/>
  <c r="V156" i="8"/>
  <c r="R156" i="8" s="1"/>
  <c r="V176" i="8"/>
  <c r="R176" i="8" s="1"/>
  <c r="V247" i="8"/>
  <c r="R247" i="8" s="1"/>
  <c r="V48" i="8"/>
  <c r="R48" i="8" s="1"/>
  <c r="V158" i="8"/>
  <c r="R158" i="8" s="1"/>
  <c r="V178" i="8"/>
  <c r="R178" i="8" s="1"/>
  <c r="V236" i="8"/>
  <c r="R236" i="8" s="1"/>
  <c r="V73" i="8"/>
  <c r="R73" i="8" s="1"/>
  <c r="V81" i="8"/>
  <c r="R81" i="8" s="1"/>
  <c r="V19" i="8"/>
  <c r="R19" i="8" s="1"/>
  <c r="V35" i="8"/>
  <c r="R35" i="8" s="1"/>
  <c r="V206" i="8"/>
  <c r="R206" i="8" s="1"/>
  <c r="V34" i="8"/>
  <c r="R34" i="8" s="1"/>
  <c r="V182" i="8"/>
  <c r="R182" i="8" s="1"/>
  <c r="V101" i="8"/>
  <c r="R101" i="8" s="1"/>
  <c r="V313" i="8"/>
  <c r="R313" i="8" s="1"/>
  <c r="V321" i="8"/>
  <c r="R321" i="8" s="1"/>
  <c r="V339" i="8"/>
  <c r="R339" i="8" s="1"/>
  <c r="V347" i="8"/>
  <c r="R347" i="8" s="1"/>
  <c r="V355" i="8"/>
  <c r="R355" i="8" s="1"/>
  <c r="V363" i="8"/>
  <c r="R363" i="8" s="1"/>
  <c r="V379" i="8"/>
  <c r="R379" i="8" s="1"/>
  <c r="V65" i="8"/>
  <c r="R65" i="8" s="1"/>
  <c r="V97" i="8"/>
  <c r="R97" i="8" s="1"/>
  <c r="V198" i="8"/>
  <c r="R198" i="8" s="1"/>
  <c r="V305" i="8"/>
  <c r="R305" i="8" s="1"/>
  <c r="V371" i="8"/>
  <c r="R371" i="8" s="1"/>
  <c r="V381" i="8"/>
  <c r="R381" i="8" s="1"/>
  <c r="V60" i="8"/>
  <c r="R60" i="8" s="1"/>
  <c r="V68" i="8"/>
  <c r="R68" i="8" s="1"/>
  <c r="V76" i="8"/>
  <c r="R76" i="8" s="1"/>
  <c r="V84" i="8"/>
  <c r="R84" i="8" s="1"/>
  <c r="V7" i="8"/>
  <c r="R7" i="8" s="1"/>
  <c r="V15" i="8"/>
  <c r="R15" i="8" s="1"/>
  <c r="V20" i="8"/>
  <c r="R20" i="8" s="1"/>
  <c r="V28" i="8"/>
  <c r="R28" i="8" s="1"/>
  <c r="V47" i="8"/>
  <c r="R47" i="8" s="1"/>
  <c r="V366" i="8"/>
  <c r="R366" i="8" s="1"/>
  <c r="V374" i="8"/>
  <c r="R374" i="8" s="1"/>
  <c r="V382" i="8"/>
  <c r="R382" i="8" s="1"/>
  <c r="V8" i="3"/>
  <c r="R8" i="3" s="1"/>
  <c r="V33" i="3"/>
  <c r="R33" i="3" s="1"/>
  <c r="V74" i="4"/>
  <c r="R74" i="4" s="1"/>
  <c r="V22" i="7"/>
  <c r="R22" i="7" s="1"/>
  <c r="V36" i="8"/>
  <c r="R36" i="8" s="1"/>
  <c r="V44" i="8"/>
  <c r="R44" i="8" s="1"/>
  <c r="V116" i="8"/>
  <c r="R116" i="8" s="1"/>
  <c r="V232" i="8"/>
  <c r="R232" i="8" s="1"/>
  <c r="V240" i="8"/>
  <c r="R240" i="8" s="1"/>
  <c r="V94" i="3"/>
  <c r="R94" i="3" s="1"/>
  <c r="V98" i="3"/>
  <c r="R98" i="3" s="1"/>
  <c r="V118" i="4"/>
  <c r="R118" i="4" s="1"/>
  <c r="V127" i="4"/>
  <c r="R127" i="4" s="1"/>
  <c r="V13" i="4"/>
  <c r="R13" i="4" s="1"/>
  <c r="V29" i="4"/>
  <c r="R29" i="4" s="1"/>
  <c r="V33" i="4"/>
  <c r="R33" i="4" s="1"/>
  <c r="V41" i="4"/>
  <c r="R41" i="4" s="1"/>
  <c r="V46" i="4"/>
  <c r="R46" i="4" s="1"/>
  <c r="V50" i="4"/>
  <c r="R50" i="4" s="1"/>
  <c r="V6" i="5"/>
  <c r="R6" i="5" s="1"/>
  <c r="V103" i="5"/>
  <c r="R103" i="5" s="1"/>
  <c r="V118" i="5"/>
  <c r="R118" i="5" s="1"/>
  <c r="V289" i="8"/>
  <c r="R289" i="8" s="1"/>
  <c r="V61" i="3"/>
  <c r="R61" i="3" s="1"/>
  <c r="V30" i="7"/>
  <c r="R30" i="7" s="1"/>
  <c r="V73" i="3"/>
  <c r="R73" i="3" s="1"/>
  <c r="V77" i="3"/>
  <c r="R77" i="3" s="1"/>
  <c r="V78" i="3"/>
  <c r="R78" i="3" s="1"/>
  <c r="V85" i="3"/>
  <c r="R85" i="3" s="1"/>
  <c r="V86" i="3"/>
  <c r="R86" i="3" s="1"/>
  <c r="V21" i="4"/>
  <c r="R21" i="4" s="1"/>
  <c r="V24" i="4"/>
  <c r="R24" i="4" s="1"/>
  <c r="V122" i="8"/>
  <c r="R122" i="8" s="1"/>
  <c r="V130" i="8"/>
  <c r="R130" i="8" s="1"/>
  <c r="V133" i="8"/>
  <c r="R133" i="8" s="1"/>
  <c r="V146" i="8"/>
  <c r="R146" i="8" s="1"/>
  <c r="V184" i="8"/>
  <c r="R184" i="8" s="1"/>
  <c r="V192" i="8"/>
  <c r="R192" i="8" s="1"/>
  <c r="V297" i="8"/>
  <c r="R297" i="8" s="1"/>
  <c r="V300" i="8"/>
  <c r="R300" i="8" s="1"/>
  <c r="V310" i="8"/>
  <c r="R310" i="8" s="1"/>
  <c r="V318" i="8"/>
  <c r="R318" i="8" s="1"/>
  <c r="V326" i="8"/>
  <c r="R326" i="8" s="1"/>
  <c r="V344" i="8"/>
  <c r="R344" i="8" s="1"/>
  <c r="V352" i="8"/>
  <c r="R352" i="8" s="1"/>
  <c r="V360" i="8"/>
  <c r="R360" i="8" s="1"/>
  <c r="V364" i="8"/>
  <c r="R364" i="8" s="1"/>
  <c r="V380" i="8"/>
  <c r="R380" i="8" s="1"/>
  <c r="V10" i="3"/>
  <c r="R10" i="3" s="1"/>
  <c r="V48" i="3"/>
  <c r="R48" i="3" s="1"/>
  <c r="V44" i="3"/>
  <c r="R44" i="3" s="1"/>
  <c r="V40" i="3"/>
  <c r="R40" i="3" s="1"/>
  <c r="V32" i="3"/>
  <c r="R32" i="3" s="1"/>
  <c r="V28" i="3"/>
  <c r="R28" i="3" s="1"/>
  <c r="V24" i="3"/>
  <c r="R24" i="3" s="1"/>
  <c r="V20" i="3"/>
  <c r="R20" i="3" s="1"/>
  <c r="V16" i="3"/>
  <c r="R16" i="3" s="1"/>
  <c r="V12" i="3"/>
  <c r="R12" i="3" s="1"/>
  <c r="V88" i="3"/>
  <c r="R88" i="3" s="1"/>
  <c r="V125" i="4"/>
  <c r="R125" i="4" s="1"/>
  <c r="V128" i="4"/>
  <c r="R128" i="4" s="1"/>
  <c r="V137" i="4"/>
  <c r="R137" i="4" s="1"/>
  <c r="V145" i="4"/>
  <c r="R145" i="4" s="1"/>
  <c r="V150" i="4"/>
  <c r="R150" i="4" s="1"/>
  <c r="V159" i="4"/>
  <c r="R159" i="4" s="1"/>
  <c r="V90" i="4"/>
  <c r="R90" i="4" s="1"/>
  <c r="V93" i="4"/>
  <c r="R93" i="4" s="1"/>
  <c r="V102" i="4"/>
  <c r="R102" i="4" s="1"/>
  <c r="V9" i="4"/>
  <c r="R9" i="4" s="1"/>
  <c r="V14" i="4"/>
  <c r="R14" i="4" s="1"/>
  <c r="V35" i="4"/>
  <c r="R35" i="4" s="1"/>
  <c r="V49" i="4"/>
  <c r="R49" i="4" s="1"/>
  <c r="V51" i="4"/>
  <c r="R51" i="4" s="1"/>
  <c r="V91" i="5"/>
  <c r="R91" i="5" s="1"/>
  <c r="V93" i="5"/>
  <c r="R93" i="5" s="1"/>
  <c r="V97" i="5"/>
  <c r="R97" i="5" s="1"/>
  <c r="V116" i="5"/>
  <c r="R116" i="5" s="1"/>
  <c r="V120" i="5"/>
  <c r="R120" i="5" s="1"/>
  <c r="V214" i="5"/>
  <c r="R214" i="5" s="1"/>
  <c r="V6" i="6"/>
  <c r="R6" i="6" s="1"/>
  <c r="V12" i="7"/>
  <c r="R12" i="7" s="1"/>
  <c r="V16" i="7"/>
  <c r="R16" i="7" s="1"/>
  <c r="V144" i="7"/>
  <c r="R144" i="7" s="1"/>
  <c r="V9" i="8"/>
  <c r="R9" i="8" s="1"/>
  <c r="V10" i="8"/>
  <c r="R10" i="8" s="1"/>
  <c r="V17" i="8"/>
  <c r="R17" i="8" s="1"/>
  <c r="V26" i="8"/>
  <c r="R26" i="8" s="1"/>
  <c r="V29" i="8"/>
  <c r="R29" i="8" s="1"/>
  <c r="V38" i="8"/>
  <c r="R38" i="8" s="1"/>
  <c r="V46" i="8"/>
  <c r="R46" i="8" s="1"/>
  <c r="V118" i="8"/>
  <c r="R118" i="8" s="1"/>
  <c r="V124" i="8"/>
  <c r="R124" i="8" s="1"/>
  <c r="V132" i="8"/>
  <c r="R132" i="8" s="1"/>
  <c r="V174" i="8"/>
  <c r="R174" i="8" s="1"/>
  <c r="V177" i="8"/>
  <c r="R177" i="8" s="1"/>
  <c r="V186" i="8"/>
  <c r="R186" i="8" s="1"/>
  <c r="V194" i="8"/>
  <c r="R194" i="8" s="1"/>
  <c r="V199" i="8"/>
  <c r="R199" i="8" s="1"/>
  <c r="V200" i="8"/>
  <c r="R200" i="8" s="1"/>
  <c r="V208" i="8"/>
  <c r="R208" i="8" s="1"/>
  <c r="V238" i="8"/>
  <c r="R238" i="8" s="1"/>
  <c r="V251" i="8"/>
  <c r="R251" i="8" s="1"/>
  <c r="V259" i="8"/>
  <c r="R259" i="8" s="1"/>
  <c r="V263" i="8"/>
  <c r="R263" i="8" s="1"/>
  <c r="V267" i="8"/>
  <c r="R267" i="8" s="1"/>
  <c r="V285" i="8"/>
  <c r="R285" i="8" s="1"/>
  <c r="V96" i="8"/>
  <c r="R96" i="8" s="1"/>
  <c r="V100" i="8"/>
  <c r="R100" i="8" s="1"/>
  <c r="V41" i="3"/>
  <c r="R41" i="3" s="1"/>
  <c r="V69" i="3"/>
  <c r="R69" i="3" s="1"/>
  <c r="V70" i="3"/>
  <c r="R70" i="3" s="1"/>
  <c r="V90" i="3"/>
  <c r="R90" i="3" s="1"/>
  <c r="V95" i="3"/>
  <c r="R95" i="3" s="1"/>
  <c r="V96" i="3"/>
  <c r="R96" i="3" s="1"/>
  <c r="V123" i="4"/>
  <c r="R123" i="4" s="1"/>
  <c r="V141" i="4"/>
  <c r="R141" i="4" s="1"/>
  <c r="V144" i="4"/>
  <c r="R144" i="4" s="1"/>
  <c r="V153" i="4"/>
  <c r="R153" i="4" s="1"/>
  <c r="V62" i="4"/>
  <c r="R62" i="4" s="1"/>
  <c r="V67" i="4"/>
  <c r="R67" i="4" s="1"/>
  <c r="V68" i="4"/>
  <c r="R68" i="4" s="1"/>
  <c r="V76" i="4"/>
  <c r="R76" i="4" s="1"/>
  <c r="V8" i="4"/>
  <c r="R8" i="4" s="1"/>
  <c r="V17" i="4"/>
  <c r="R17" i="4" s="1"/>
  <c r="V25" i="4"/>
  <c r="R25" i="4" s="1"/>
  <c r="V30" i="4"/>
  <c r="R30" i="4" s="1"/>
  <c r="V46" i="5"/>
  <c r="R46" i="5" s="1"/>
  <c r="V67" i="5"/>
  <c r="R67" i="5" s="1"/>
  <c r="V72" i="5"/>
  <c r="R72" i="5" s="1"/>
  <c r="V76" i="5"/>
  <c r="R76" i="5" s="1"/>
  <c r="V88" i="5"/>
  <c r="R88" i="5" s="1"/>
  <c r="V92" i="5"/>
  <c r="R92" i="5" s="1"/>
  <c r="V158" i="5"/>
  <c r="R158" i="5" s="1"/>
  <c r="V174" i="5"/>
  <c r="R174" i="5" s="1"/>
  <c r="V178" i="5"/>
  <c r="R178" i="5" s="1"/>
  <c r="V186" i="5"/>
  <c r="R186" i="5" s="1"/>
  <c r="V190" i="5"/>
  <c r="R190" i="5" s="1"/>
  <c r="V195" i="5"/>
  <c r="R195" i="5" s="1"/>
  <c r="V199" i="5"/>
  <c r="R199" i="5" s="1"/>
  <c r="V211" i="5"/>
  <c r="R211" i="5" s="1"/>
  <c r="V84" i="7"/>
  <c r="R84" i="7" s="1"/>
  <c r="V255" i="7"/>
  <c r="R255" i="7" s="1"/>
  <c r="V259" i="7"/>
  <c r="R259" i="7" s="1"/>
  <c r="V263" i="7"/>
  <c r="R263" i="7" s="1"/>
  <c r="V267" i="7"/>
  <c r="R267" i="7" s="1"/>
  <c r="V271" i="7"/>
  <c r="R271" i="7" s="1"/>
  <c r="V8" i="8"/>
  <c r="R8" i="8" s="1"/>
  <c r="V12" i="8"/>
  <c r="R12" i="8" s="1"/>
  <c r="V42" i="8"/>
  <c r="R42" i="8" s="1"/>
  <c r="V45" i="8"/>
  <c r="R45" i="8" s="1"/>
  <c r="V49" i="8"/>
  <c r="R49" i="8" s="1"/>
  <c r="V113" i="8"/>
  <c r="R113" i="8" s="1"/>
  <c r="V114" i="8"/>
  <c r="R114" i="8" s="1"/>
  <c r="V117" i="8"/>
  <c r="R117" i="8" s="1"/>
  <c r="V126" i="8"/>
  <c r="R126" i="8" s="1"/>
  <c r="V134" i="8"/>
  <c r="R134" i="8" s="1"/>
  <c r="V139" i="8"/>
  <c r="R139" i="8" s="1"/>
  <c r="V140" i="8"/>
  <c r="R140" i="8" s="1"/>
  <c r="V148" i="8"/>
  <c r="R148" i="8" s="1"/>
  <c r="V190" i="8"/>
  <c r="R190" i="8" s="1"/>
  <c r="V193" i="8"/>
  <c r="R193" i="8" s="1"/>
  <c r="V202" i="8"/>
  <c r="R202" i="8" s="1"/>
  <c r="V210" i="8"/>
  <c r="R210" i="8" s="1"/>
  <c r="V215" i="8"/>
  <c r="R215" i="8" s="1"/>
  <c r="V216" i="8"/>
  <c r="R216" i="8" s="1"/>
  <c r="V229" i="8"/>
  <c r="R229" i="8" s="1"/>
  <c r="V233" i="8"/>
  <c r="R233" i="8" s="1"/>
  <c r="V258" i="8"/>
  <c r="R258" i="8" s="1"/>
  <c r="V284" i="8"/>
  <c r="R284" i="8" s="1"/>
  <c r="V293" i="8"/>
  <c r="R293" i="8" s="1"/>
  <c r="V307" i="8"/>
  <c r="R307" i="8" s="1"/>
  <c r="V369" i="8"/>
  <c r="R369" i="8" s="1"/>
  <c r="V373" i="8"/>
  <c r="R373" i="8" s="1"/>
  <c r="V61" i="8"/>
  <c r="R61" i="8" s="1"/>
  <c r="V69" i="8"/>
  <c r="R69" i="8" s="1"/>
  <c r="V132" i="7"/>
  <c r="R132" i="7" s="1"/>
  <c r="V254" i="7"/>
  <c r="R254" i="7" s="1"/>
  <c r="V172" i="5"/>
  <c r="R172" i="5" s="1"/>
  <c r="V196" i="5"/>
  <c r="R196" i="5" s="1"/>
  <c r="V210" i="5"/>
  <c r="R210" i="5" s="1"/>
  <c r="V87" i="5"/>
  <c r="R87" i="5" s="1"/>
  <c r="V242" i="8"/>
  <c r="R242" i="8" s="1"/>
  <c r="V255" i="8"/>
  <c r="R255" i="8" s="1"/>
  <c r="V228" i="8"/>
  <c r="R228" i="8" s="1"/>
  <c r="V271" i="8"/>
  <c r="R271" i="8" s="1"/>
  <c r="V47" i="6"/>
  <c r="R47" i="6" s="1"/>
  <c r="V64" i="6"/>
  <c r="R64" i="6" s="1"/>
  <c r="V67" i="6"/>
  <c r="R67" i="6" s="1"/>
  <c r="V83" i="6"/>
  <c r="R83" i="6" s="1"/>
  <c r="V143" i="6"/>
  <c r="R143" i="6" s="1"/>
  <c r="V159" i="6"/>
  <c r="R159" i="6" s="1"/>
  <c r="V191" i="6"/>
  <c r="R191" i="6" s="1"/>
  <c r="V187" i="6"/>
  <c r="R187" i="6" s="1"/>
  <c r="V203" i="6"/>
  <c r="R203" i="6" s="1"/>
  <c r="V209" i="6"/>
  <c r="R209" i="6" s="1"/>
  <c r="V212" i="6"/>
  <c r="R212" i="6" s="1"/>
  <c r="V15" i="6"/>
  <c r="R15" i="6" s="1"/>
  <c r="V88" i="6"/>
  <c r="R88" i="6" s="1"/>
  <c r="V204" i="6"/>
  <c r="R204" i="6" s="1"/>
  <c r="V89" i="6"/>
  <c r="R89" i="6" s="1"/>
  <c r="V216" i="6"/>
  <c r="R216" i="6" s="1"/>
  <c r="V19" i="6"/>
  <c r="R19" i="6" s="1"/>
  <c r="V27" i="6"/>
  <c r="R27" i="6" s="1"/>
  <c r="V76" i="6"/>
  <c r="R76" i="6" s="1"/>
  <c r="V84" i="6"/>
  <c r="R84" i="6" s="1"/>
  <c r="V11" i="6"/>
  <c r="R11" i="6" s="1"/>
  <c r="V16" i="6"/>
  <c r="R16" i="6" s="1"/>
  <c r="V32" i="6"/>
  <c r="R32" i="6" s="1"/>
  <c r="V104" i="6"/>
  <c r="R104" i="6" s="1"/>
  <c r="V117" i="6"/>
  <c r="R117" i="6" s="1"/>
  <c r="V127" i="6"/>
  <c r="R127" i="6" s="1"/>
  <c r="V133" i="6"/>
  <c r="R133" i="6" s="1"/>
  <c r="V149" i="6"/>
  <c r="R149" i="6" s="1"/>
  <c r="V128" i="6"/>
  <c r="R128" i="6" s="1"/>
  <c r="V92" i="6"/>
  <c r="R92" i="6" s="1"/>
  <c r="V100" i="6"/>
  <c r="R100" i="6" s="1"/>
  <c r="V123" i="6"/>
  <c r="R123" i="6" s="1"/>
  <c r="V175" i="6"/>
  <c r="R175" i="6" s="1"/>
  <c r="V183" i="6"/>
  <c r="R183" i="6" s="1"/>
  <c r="V188" i="6"/>
  <c r="R188" i="6" s="1"/>
  <c r="V199" i="6"/>
  <c r="R199" i="6" s="1"/>
  <c r="V10" i="6"/>
  <c r="R10" i="6" s="1"/>
  <c r="V72" i="6"/>
  <c r="R72" i="6" s="1"/>
  <c r="V98" i="6"/>
  <c r="R98" i="6" s="1"/>
  <c r="V213" i="6"/>
  <c r="R213" i="6" s="1"/>
  <c r="V31" i="6"/>
  <c r="R31" i="6" s="1"/>
  <c r="V37" i="6"/>
  <c r="R37" i="6" s="1"/>
  <c r="V62" i="6"/>
  <c r="R62" i="6" s="1"/>
  <c r="V151" i="6"/>
  <c r="R151" i="6" s="1"/>
  <c r="V154" i="6"/>
  <c r="R154" i="6" s="1"/>
  <c r="V182" i="6"/>
  <c r="R182" i="6" s="1"/>
  <c r="V68" i="7"/>
  <c r="R68" i="7" s="1"/>
  <c r="V80" i="7"/>
  <c r="R80" i="7" s="1"/>
  <c r="V81" i="7"/>
  <c r="R81" i="7" s="1"/>
  <c r="V128" i="7"/>
  <c r="R128" i="7" s="1"/>
  <c r="V140" i="7"/>
  <c r="R140" i="7" s="1"/>
  <c r="V145" i="7"/>
  <c r="R145" i="7" s="1"/>
  <c r="V149" i="7"/>
  <c r="R149" i="7" s="1"/>
  <c r="V230" i="7"/>
  <c r="R230" i="7" s="1"/>
  <c r="V233" i="7"/>
  <c r="R233" i="7" s="1"/>
  <c r="V237" i="7"/>
  <c r="R237" i="7" s="1"/>
  <c r="V249" i="7"/>
  <c r="R249" i="7" s="1"/>
  <c r="V253" i="7"/>
  <c r="R253" i="7" s="1"/>
  <c r="V10" i="7"/>
  <c r="R10" i="7" s="1"/>
  <c r="V114" i="7"/>
  <c r="R114" i="7" s="1"/>
  <c r="V19" i="7"/>
  <c r="R19" i="7" s="1"/>
  <c r="V38" i="7"/>
  <c r="R38" i="7" s="1"/>
  <c r="V51" i="7"/>
  <c r="R51" i="7" s="1"/>
  <c r="V63" i="7"/>
  <c r="R63" i="7" s="1"/>
  <c r="V67" i="7"/>
  <c r="R67" i="7" s="1"/>
  <c r="V100" i="7"/>
  <c r="R100" i="7" s="1"/>
  <c r="V120" i="7"/>
  <c r="R120" i="7" s="1"/>
  <c r="V139" i="7"/>
  <c r="R139" i="7" s="1"/>
  <c r="V143" i="7"/>
  <c r="R143" i="7" s="1"/>
  <c r="V156" i="7"/>
  <c r="R156" i="7" s="1"/>
  <c r="V172" i="7"/>
  <c r="R172" i="7" s="1"/>
  <c r="V176" i="7"/>
  <c r="R176" i="7" s="1"/>
  <c r="V180" i="7"/>
  <c r="R180" i="7" s="1"/>
  <c r="V184" i="7"/>
  <c r="R184" i="7" s="1"/>
  <c r="V196" i="7"/>
  <c r="R196" i="7" s="1"/>
  <c r="V200" i="7"/>
  <c r="R200" i="7" s="1"/>
  <c r="V204" i="7"/>
  <c r="R204" i="7" s="1"/>
  <c r="V208" i="7"/>
  <c r="R208" i="7" s="1"/>
  <c r="V212" i="7"/>
  <c r="R212" i="7" s="1"/>
  <c r="V232" i="7"/>
  <c r="R232" i="7" s="1"/>
  <c r="V80" i="6"/>
  <c r="R80" i="6" s="1"/>
  <c r="V23" i="6"/>
  <c r="R23" i="6" s="1"/>
  <c r="V26" i="6"/>
  <c r="R26" i="6" s="1"/>
  <c r="V35" i="6"/>
  <c r="R35" i="6" s="1"/>
  <c r="V43" i="6"/>
  <c r="R43" i="6" s="1"/>
  <c r="V48" i="6"/>
  <c r="R48" i="6" s="1"/>
  <c r="V66" i="6"/>
  <c r="R66" i="6" s="1"/>
  <c r="V96" i="6"/>
  <c r="R96" i="6" s="1"/>
  <c r="V99" i="6"/>
  <c r="R99" i="6" s="1"/>
  <c r="V115" i="6"/>
  <c r="R115" i="6" s="1"/>
  <c r="V179" i="6"/>
  <c r="R179" i="6" s="1"/>
  <c r="V21" i="6"/>
  <c r="R21" i="6" s="1"/>
  <c r="V39" i="6"/>
  <c r="R39" i="6" s="1"/>
  <c r="V42" i="6"/>
  <c r="R42" i="6" s="1"/>
  <c r="V51" i="6"/>
  <c r="R51" i="6" s="1"/>
  <c r="V68" i="6"/>
  <c r="R68" i="6" s="1"/>
  <c r="V73" i="6"/>
  <c r="R73" i="6" s="1"/>
  <c r="V119" i="6"/>
  <c r="R119" i="6" s="1"/>
  <c r="V122" i="6"/>
  <c r="R122" i="6" s="1"/>
  <c r="V131" i="6"/>
  <c r="R131" i="6" s="1"/>
  <c r="V135" i="6"/>
  <c r="R135" i="6" s="1"/>
  <c r="V139" i="6"/>
  <c r="R139" i="6" s="1"/>
  <c r="V144" i="6"/>
  <c r="R144" i="6" s="1"/>
  <c r="V177" i="6"/>
  <c r="R177" i="6" s="1"/>
  <c r="V195" i="6"/>
  <c r="R195" i="6" s="1"/>
  <c r="V198" i="6"/>
  <c r="R198" i="6" s="1"/>
  <c r="V207" i="6"/>
  <c r="R207" i="6" s="1"/>
  <c r="V138" i="6"/>
  <c r="R138" i="6" s="1"/>
  <c r="V147" i="6"/>
  <c r="R147" i="6" s="1"/>
  <c r="V155" i="6"/>
  <c r="R155" i="6" s="1"/>
  <c r="V172" i="6"/>
  <c r="R172" i="6" s="1"/>
  <c r="V193" i="6"/>
  <c r="R193" i="6" s="1"/>
  <c r="V62" i="3"/>
  <c r="R62" i="3" s="1"/>
  <c r="V67" i="3"/>
  <c r="R67" i="3" s="1"/>
  <c r="V72" i="3"/>
  <c r="R72" i="3" s="1"/>
  <c r="V83" i="3"/>
  <c r="R83" i="3" s="1"/>
  <c r="V93" i="3"/>
  <c r="R93" i="3" s="1"/>
  <c r="V99" i="3"/>
  <c r="R99" i="3" s="1"/>
  <c r="V100" i="3"/>
  <c r="R100" i="3" s="1"/>
  <c r="V116" i="4"/>
  <c r="R116" i="4" s="1"/>
  <c r="V122" i="4"/>
  <c r="R122" i="4" s="1"/>
  <c r="V132" i="4"/>
  <c r="R132" i="4" s="1"/>
  <c r="V138" i="4"/>
  <c r="R138" i="4" s="1"/>
  <c r="V139" i="4"/>
  <c r="R139" i="4" s="1"/>
  <c r="V148" i="4"/>
  <c r="R148" i="4" s="1"/>
  <c r="V154" i="4"/>
  <c r="R154" i="4" s="1"/>
  <c r="V155" i="4"/>
  <c r="R155" i="4" s="1"/>
  <c r="V65" i="4"/>
  <c r="R65" i="4" s="1"/>
  <c r="V71" i="4"/>
  <c r="R71" i="4" s="1"/>
  <c r="V72" i="4"/>
  <c r="R72" i="4" s="1"/>
  <c r="V81" i="4"/>
  <c r="R81" i="4" s="1"/>
  <c r="V87" i="4"/>
  <c r="R87" i="4" s="1"/>
  <c r="V88" i="4"/>
  <c r="R88" i="4" s="1"/>
  <c r="V92" i="4"/>
  <c r="R92" i="4" s="1"/>
  <c r="V97" i="4"/>
  <c r="R97" i="4" s="1"/>
  <c r="V103" i="4"/>
  <c r="R103" i="4" s="1"/>
  <c r="V7" i="4"/>
  <c r="R7" i="4" s="1"/>
  <c r="V12" i="4"/>
  <c r="R12" i="4" s="1"/>
  <c r="V18" i="4"/>
  <c r="R18" i="4" s="1"/>
  <c r="V23" i="4"/>
  <c r="R23" i="4" s="1"/>
  <c r="V28" i="4"/>
  <c r="R28" i="4" s="1"/>
  <c r="V34" i="4"/>
  <c r="R34" i="4" s="1"/>
  <c r="V39" i="4"/>
  <c r="R39" i="4" s="1"/>
  <c r="V74" i="3"/>
  <c r="R74" i="3" s="1"/>
  <c r="V76" i="3"/>
  <c r="R76" i="3" s="1"/>
  <c r="V87" i="3"/>
  <c r="R87" i="3" s="1"/>
  <c r="V97" i="3"/>
  <c r="R97" i="3" s="1"/>
  <c r="V103" i="3"/>
  <c r="R103" i="3" s="1"/>
  <c r="V115" i="4"/>
  <c r="R115" i="4" s="1"/>
  <c r="V120" i="4"/>
  <c r="R120" i="4" s="1"/>
  <c r="V126" i="4"/>
  <c r="R126" i="4" s="1"/>
  <c r="V136" i="4"/>
  <c r="R136" i="4" s="1"/>
  <c r="V142" i="4"/>
  <c r="R142" i="4" s="1"/>
  <c r="V147" i="4"/>
  <c r="R147" i="4" s="1"/>
  <c r="V152" i="4"/>
  <c r="R152" i="4" s="1"/>
  <c r="V158" i="4"/>
  <c r="R158" i="4" s="1"/>
  <c r="V69" i="4"/>
  <c r="R69" i="4" s="1"/>
  <c r="V75" i="4"/>
  <c r="R75" i="4" s="1"/>
  <c r="V85" i="4"/>
  <c r="R85" i="4" s="1"/>
  <c r="V91" i="4"/>
  <c r="R91" i="4" s="1"/>
  <c r="V96" i="4"/>
  <c r="R96" i="4" s="1"/>
  <c r="V101" i="4"/>
  <c r="R101" i="4" s="1"/>
  <c r="V6" i="4"/>
  <c r="R6" i="4" s="1"/>
  <c r="V11" i="4"/>
  <c r="R11" i="4" s="1"/>
  <c r="V16" i="4"/>
  <c r="R16" i="4" s="1"/>
  <c r="V22" i="4"/>
  <c r="R22" i="4" s="1"/>
  <c r="V27" i="4"/>
  <c r="R27" i="4" s="1"/>
  <c r="V32" i="4"/>
  <c r="R32" i="4" s="1"/>
  <c r="V38" i="4"/>
  <c r="R38" i="4" s="1"/>
  <c r="V43" i="4"/>
  <c r="R43" i="4" s="1"/>
  <c r="V64" i="3"/>
  <c r="R64" i="3" s="1"/>
  <c r="V75" i="3"/>
  <c r="R75" i="3" s="1"/>
  <c r="V80" i="3"/>
  <c r="R80" i="3" s="1"/>
  <c r="V92" i="3"/>
  <c r="R92" i="3" s="1"/>
  <c r="V101" i="3"/>
  <c r="R101" i="3" s="1"/>
  <c r="V114" i="4"/>
  <c r="R114" i="4" s="1"/>
  <c r="V119" i="4"/>
  <c r="R119" i="4" s="1"/>
  <c r="V124" i="4"/>
  <c r="R124" i="4" s="1"/>
  <c r="V130" i="4"/>
  <c r="R130" i="4" s="1"/>
  <c r="V131" i="4"/>
  <c r="R131" i="4" s="1"/>
  <c r="V140" i="4"/>
  <c r="R140" i="4" s="1"/>
  <c r="V146" i="4"/>
  <c r="R146" i="4" s="1"/>
  <c r="V151" i="4"/>
  <c r="R151" i="4" s="1"/>
  <c r="V156" i="4"/>
  <c r="R156" i="4" s="1"/>
  <c r="V63" i="4"/>
  <c r="R63" i="4" s="1"/>
  <c r="V64" i="4"/>
  <c r="R64" i="4" s="1"/>
  <c r="V73" i="4"/>
  <c r="R73" i="4" s="1"/>
  <c r="V79" i="4"/>
  <c r="R79" i="4" s="1"/>
  <c r="V80" i="4"/>
  <c r="R80" i="4" s="1"/>
  <c r="V89" i="4"/>
  <c r="R89" i="4" s="1"/>
  <c r="V95" i="4"/>
  <c r="R95" i="4" s="1"/>
  <c r="V100" i="4"/>
  <c r="R100" i="4" s="1"/>
  <c r="V10" i="4"/>
  <c r="R10" i="4" s="1"/>
  <c r="V15" i="4"/>
  <c r="R15" i="4" s="1"/>
  <c r="V20" i="4"/>
  <c r="R20" i="4" s="1"/>
  <c r="V26" i="4"/>
  <c r="R26" i="4" s="1"/>
  <c r="V31" i="4"/>
  <c r="R31" i="4" s="1"/>
  <c r="V36" i="4"/>
  <c r="R36" i="4" s="1"/>
  <c r="V42" i="4"/>
  <c r="R42" i="4" s="1"/>
  <c r="V47" i="4"/>
  <c r="R47" i="4" s="1"/>
  <c r="V14" i="5"/>
  <c r="R14" i="5" s="1"/>
  <c r="V10" i="5"/>
  <c r="R10" i="5" s="1"/>
  <c r="V15" i="5"/>
  <c r="R15" i="5" s="1"/>
  <c r="V19" i="5"/>
  <c r="R19" i="5" s="1"/>
  <c r="V34" i="5"/>
  <c r="R34" i="5" s="1"/>
  <c r="V36" i="5"/>
  <c r="R36" i="5" s="1"/>
  <c r="V40" i="5"/>
  <c r="R40" i="5" s="1"/>
  <c r="V63" i="5"/>
  <c r="R63" i="5" s="1"/>
  <c r="V114" i="5"/>
  <c r="R114" i="5" s="1"/>
  <c r="V134" i="5"/>
  <c r="R134" i="5" s="1"/>
  <c r="V212" i="5"/>
  <c r="R212" i="5" s="1"/>
  <c r="V215" i="5"/>
  <c r="R215" i="5" s="1"/>
  <c r="V9" i="6"/>
  <c r="R9" i="6" s="1"/>
  <c r="V14" i="6"/>
  <c r="R14" i="6" s="1"/>
  <c r="V20" i="6"/>
  <c r="R20" i="6" s="1"/>
  <c r="V25" i="6"/>
  <c r="R25" i="6" s="1"/>
  <c r="V30" i="6"/>
  <c r="R30" i="6" s="1"/>
  <c r="V36" i="6"/>
  <c r="R36" i="6" s="1"/>
  <c r="V41" i="6"/>
  <c r="R41" i="6" s="1"/>
  <c r="V46" i="6"/>
  <c r="R46" i="6" s="1"/>
  <c r="V61" i="6"/>
  <c r="R61" i="6" s="1"/>
  <c r="V71" i="6"/>
  <c r="R71" i="6" s="1"/>
  <c r="V77" i="6"/>
  <c r="R77" i="6" s="1"/>
  <c r="V78" i="6"/>
  <c r="R78" i="6" s="1"/>
  <c r="V82" i="6"/>
  <c r="R82" i="6" s="1"/>
  <c r="V87" i="6"/>
  <c r="R87" i="6" s="1"/>
  <c r="V93" i="6"/>
  <c r="R93" i="6" s="1"/>
  <c r="V94" i="6"/>
  <c r="R94" i="6" s="1"/>
  <c r="V103" i="6"/>
  <c r="R103" i="6" s="1"/>
  <c r="V116" i="6"/>
  <c r="R116" i="6" s="1"/>
  <c r="V121" i="6"/>
  <c r="R121" i="6" s="1"/>
  <c r="V126" i="6"/>
  <c r="R126" i="6" s="1"/>
  <c r="V132" i="6"/>
  <c r="R132" i="6" s="1"/>
  <c r="V137" i="6"/>
  <c r="R137" i="6" s="1"/>
  <c r="V142" i="6"/>
  <c r="R142" i="6" s="1"/>
  <c r="V148" i="6"/>
  <c r="R148" i="6" s="1"/>
  <c r="V153" i="6"/>
  <c r="R153" i="6" s="1"/>
  <c r="V158" i="6"/>
  <c r="R158" i="6" s="1"/>
  <c r="V176" i="6"/>
  <c r="R176" i="6" s="1"/>
  <c r="V181" i="6"/>
  <c r="R181" i="6" s="1"/>
  <c r="V186" i="6"/>
  <c r="R186" i="6" s="1"/>
  <c r="V192" i="6"/>
  <c r="R192" i="6" s="1"/>
  <c r="V197" i="6"/>
  <c r="R197" i="6" s="1"/>
  <c r="V202" i="6"/>
  <c r="R202" i="6" s="1"/>
  <c r="V208" i="6"/>
  <c r="R208" i="6" s="1"/>
  <c r="V211" i="6"/>
  <c r="R211" i="6" s="1"/>
  <c r="V217" i="6"/>
  <c r="R217" i="6" s="1"/>
  <c r="V7" i="7"/>
  <c r="R7" i="7" s="1"/>
  <c r="V11" i="7"/>
  <c r="R11" i="7" s="1"/>
  <c r="V26" i="7"/>
  <c r="R26" i="7" s="1"/>
  <c r="V28" i="7"/>
  <c r="R28" i="7" s="1"/>
  <c r="V32" i="7"/>
  <c r="R32" i="7" s="1"/>
  <c r="V46" i="7"/>
  <c r="R46" i="7" s="1"/>
  <c r="V49" i="7"/>
  <c r="R49" i="7" s="1"/>
  <c r="V62" i="7"/>
  <c r="R62" i="7" s="1"/>
  <c r="V76" i="7"/>
  <c r="R76" i="7" s="1"/>
  <c r="V79" i="7"/>
  <c r="R79" i="7" s="1"/>
  <c r="V83" i="7"/>
  <c r="R83" i="7" s="1"/>
  <c r="V96" i="7"/>
  <c r="R96" i="7" s="1"/>
  <c r="V97" i="7"/>
  <c r="R97" i="7" s="1"/>
  <c r="V124" i="7"/>
  <c r="R124" i="7" s="1"/>
  <c r="V129" i="7"/>
  <c r="R129" i="7" s="1"/>
  <c r="V9" i="5"/>
  <c r="R9" i="5" s="1"/>
  <c r="V13" i="5"/>
  <c r="R13" i="5" s="1"/>
  <c r="V26" i="5"/>
  <c r="R26" i="5" s="1"/>
  <c r="V31" i="5"/>
  <c r="R31" i="5" s="1"/>
  <c r="V35" i="5"/>
  <c r="R35" i="5" s="1"/>
  <c r="V50" i="5"/>
  <c r="R50" i="5" s="1"/>
  <c r="V61" i="5"/>
  <c r="R61" i="5" s="1"/>
  <c r="V65" i="5"/>
  <c r="R65" i="5" s="1"/>
  <c r="V79" i="5"/>
  <c r="R79" i="5" s="1"/>
  <c r="V82" i="5"/>
  <c r="R82" i="5" s="1"/>
  <c r="V86" i="5"/>
  <c r="R86" i="5" s="1"/>
  <c r="V99" i="5"/>
  <c r="R99" i="5" s="1"/>
  <c r="V115" i="5"/>
  <c r="R115" i="5" s="1"/>
  <c r="V130" i="5"/>
  <c r="R130" i="5" s="1"/>
  <c r="V132" i="5"/>
  <c r="R132" i="5" s="1"/>
  <c r="V136" i="5"/>
  <c r="R136" i="5" s="1"/>
  <c r="V150" i="5"/>
  <c r="R150" i="5" s="1"/>
  <c r="V153" i="5"/>
  <c r="R153" i="5" s="1"/>
  <c r="V157" i="5"/>
  <c r="R157" i="5" s="1"/>
  <c r="V176" i="5"/>
  <c r="R176" i="5" s="1"/>
  <c r="V180" i="5"/>
  <c r="R180" i="5" s="1"/>
  <c r="V188" i="5"/>
  <c r="R188" i="5" s="1"/>
  <c r="V202" i="5"/>
  <c r="R202" i="5" s="1"/>
  <c r="V205" i="5"/>
  <c r="R205" i="5" s="1"/>
  <c r="V209" i="5"/>
  <c r="R209" i="5" s="1"/>
  <c r="V8" i="6"/>
  <c r="R8" i="6" s="1"/>
  <c r="V13" i="6"/>
  <c r="R13" i="6" s="1"/>
  <c r="V18" i="6"/>
  <c r="R18" i="6" s="1"/>
  <c r="V24" i="6"/>
  <c r="R24" i="6" s="1"/>
  <c r="V29" i="6"/>
  <c r="R29" i="6" s="1"/>
  <c r="V34" i="6"/>
  <c r="R34" i="6" s="1"/>
  <c r="V40" i="6"/>
  <c r="R40" i="6" s="1"/>
  <c r="V45" i="6"/>
  <c r="R45" i="6" s="1"/>
  <c r="V50" i="6"/>
  <c r="R50" i="6" s="1"/>
  <c r="V65" i="6"/>
  <c r="R65" i="6" s="1"/>
  <c r="V70" i="6"/>
  <c r="R70" i="6" s="1"/>
  <c r="V75" i="6"/>
  <c r="R75" i="6" s="1"/>
  <c r="V81" i="6"/>
  <c r="R81" i="6" s="1"/>
  <c r="V86" i="6"/>
  <c r="R86" i="6" s="1"/>
  <c r="V91" i="6"/>
  <c r="R91" i="6" s="1"/>
  <c r="V97" i="6"/>
  <c r="R97" i="6" s="1"/>
  <c r="V102" i="6"/>
  <c r="R102" i="6" s="1"/>
  <c r="V114" i="6"/>
  <c r="R114" i="6" s="1"/>
  <c r="V120" i="6"/>
  <c r="R120" i="6" s="1"/>
  <c r="V125" i="6"/>
  <c r="R125" i="6" s="1"/>
  <c r="V130" i="6"/>
  <c r="R130" i="6" s="1"/>
  <c r="V136" i="6"/>
  <c r="R136" i="6" s="1"/>
  <c r="V141" i="6"/>
  <c r="R141" i="6" s="1"/>
  <c r="V146" i="6"/>
  <c r="R146" i="6" s="1"/>
  <c r="V152" i="6"/>
  <c r="R152" i="6" s="1"/>
  <c r="V157" i="6"/>
  <c r="R157" i="6" s="1"/>
  <c r="V174" i="6"/>
  <c r="R174" i="6" s="1"/>
  <c r="V180" i="6"/>
  <c r="R180" i="6" s="1"/>
  <c r="V185" i="6"/>
  <c r="R185" i="6" s="1"/>
  <c r="V190" i="6"/>
  <c r="R190" i="6" s="1"/>
  <c r="V196" i="6"/>
  <c r="R196" i="6" s="1"/>
  <c r="V201" i="6"/>
  <c r="R201" i="6" s="1"/>
  <c r="V206" i="6"/>
  <c r="R206" i="6" s="1"/>
  <c r="V215" i="6"/>
  <c r="R215" i="6" s="1"/>
  <c r="V18" i="7"/>
  <c r="R18" i="7" s="1"/>
  <c r="V42" i="7"/>
  <c r="R42" i="7" s="1"/>
  <c r="V44" i="7"/>
  <c r="R44" i="7" s="1"/>
  <c r="V48" i="7"/>
  <c r="R48" i="7" s="1"/>
  <c r="V72" i="7"/>
  <c r="R72" i="7" s="1"/>
  <c r="V74" i="7"/>
  <c r="R74" i="7" s="1"/>
  <c r="V78" i="7"/>
  <c r="R78" i="7" s="1"/>
  <c r="V95" i="7"/>
  <c r="R95" i="7" s="1"/>
  <c r="V99" i="7"/>
  <c r="R99" i="7" s="1"/>
  <c r="V123" i="7"/>
  <c r="R123" i="7" s="1"/>
  <c r="V127" i="7"/>
  <c r="R127" i="7" s="1"/>
  <c r="V48" i="4"/>
  <c r="R48" i="4" s="1"/>
  <c r="V8" i="5"/>
  <c r="R8" i="5" s="1"/>
  <c r="V22" i="5"/>
  <c r="R22" i="5" s="1"/>
  <c r="V25" i="5"/>
  <c r="R25" i="5" s="1"/>
  <c r="V29" i="5"/>
  <c r="R29" i="5" s="1"/>
  <c r="V42" i="5"/>
  <c r="R42" i="5" s="1"/>
  <c r="V47" i="5"/>
  <c r="R47" i="5" s="1"/>
  <c r="V51" i="5"/>
  <c r="R51" i="5" s="1"/>
  <c r="V75" i="5"/>
  <c r="R75" i="5" s="1"/>
  <c r="V77" i="5"/>
  <c r="R77" i="5" s="1"/>
  <c r="V81" i="5"/>
  <c r="R81" i="5" s="1"/>
  <c r="V95" i="5"/>
  <c r="R95" i="5" s="1"/>
  <c r="V98" i="5"/>
  <c r="R98" i="5" s="1"/>
  <c r="V102" i="5"/>
  <c r="R102" i="5" s="1"/>
  <c r="V122" i="5"/>
  <c r="R122" i="5" s="1"/>
  <c r="V127" i="5"/>
  <c r="R127" i="5" s="1"/>
  <c r="V131" i="5"/>
  <c r="R131" i="5" s="1"/>
  <c r="V146" i="5"/>
  <c r="R146" i="5" s="1"/>
  <c r="V148" i="5"/>
  <c r="R148" i="5" s="1"/>
  <c r="V152" i="5"/>
  <c r="R152" i="5" s="1"/>
  <c r="V179" i="5"/>
  <c r="R179" i="5" s="1"/>
  <c r="V198" i="5"/>
  <c r="R198" i="5" s="1"/>
  <c r="V7" i="6"/>
  <c r="R7" i="6" s="1"/>
  <c r="V12" i="6"/>
  <c r="R12" i="6" s="1"/>
  <c r="V17" i="6"/>
  <c r="R17" i="6" s="1"/>
  <c r="V22" i="6"/>
  <c r="R22" i="6" s="1"/>
  <c r="V28" i="6"/>
  <c r="R28" i="6" s="1"/>
  <c r="V33" i="6"/>
  <c r="R33" i="6" s="1"/>
  <c r="V38" i="6"/>
  <c r="R38" i="6" s="1"/>
  <c r="V44" i="6"/>
  <c r="R44" i="6" s="1"/>
  <c r="V49" i="6"/>
  <c r="R49" i="6" s="1"/>
  <c r="V63" i="6"/>
  <c r="R63" i="6" s="1"/>
  <c r="V69" i="6"/>
  <c r="R69" i="6" s="1"/>
  <c r="V74" i="6"/>
  <c r="R74" i="6" s="1"/>
  <c r="V79" i="6"/>
  <c r="R79" i="6" s="1"/>
  <c r="V85" i="6"/>
  <c r="R85" i="6" s="1"/>
  <c r="V90" i="6"/>
  <c r="R90" i="6" s="1"/>
  <c r="V95" i="6"/>
  <c r="R95" i="6" s="1"/>
  <c r="V101" i="6"/>
  <c r="R101" i="6" s="1"/>
  <c r="V118" i="6"/>
  <c r="R118" i="6" s="1"/>
  <c r="V124" i="6"/>
  <c r="R124" i="6" s="1"/>
  <c r="V129" i="6"/>
  <c r="R129" i="6" s="1"/>
  <c r="V134" i="6"/>
  <c r="R134" i="6" s="1"/>
  <c r="V140" i="6"/>
  <c r="R140" i="6" s="1"/>
  <c r="V145" i="6"/>
  <c r="R145" i="6" s="1"/>
  <c r="V150" i="6"/>
  <c r="R150" i="6" s="1"/>
  <c r="V156" i="6"/>
  <c r="R156" i="6" s="1"/>
  <c r="V173" i="6"/>
  <c r="R173" i="6" s="1"/>
  <c r="V178" i="6"/>
  <c r="R178" i="6" s="1"/>
  <c r="V184" i="6"/>
  <c r="R184" i="6" s="1"/>
  <c r="V189" i="6"/>
  <c r="R189" i="6" s="1"/>
  <c r="V194" i="6"/>
  <c r="R194" i="6" s="1"/>
  <c r="V200" i="6"/>
  <c r="R200" i="6" s="1"/>
  <c r="V205" i="6"/>
  <c r="R205" i="6" s="1"/>
  <c r="V210" i="6"/>
  <c r="R210" i="6" s="1"/>
  <c r="V214" i="6"/>
  <c r="R214" i="6" s="1"/>
  <c r="V14" i="7"/>
  <c r="R14" i="7" s="1"/>
  <c r="V17" i="7"/>
  <c r="R17" i="7" s="1"/>
  <c r="V21" i="7"/>
  <c r="R21" i="7" s="1"/>
  <c r="V34" i="7"/>
  <c r="R34" i="7" s="1"/>
  <c r="V35" i="7"/>
  <c r="R35" i="7" s="1"/>
  <c r="V64" i="7"/>
  <c r="R64" i="7" s="1"/>
  <c r="V65" i="7"/>
  <c r="R65" i="7" s="1"/>
  <c r="V88" i="7"/>
  <c r="R88" i="7" s="1"/>
  <c r="V90" i="7"/>
  <c r="R90" i="7" s="1"/>
  <c r="V94" i="7"/>
  <c r="R94" i="7" s="1"/>
  <c r="V116" i="7"/>
  <c r="R116" i="7" s="1"/>
  <c r="V136" i="7"/>
  <c r="R136" i="7" s="1"/>
  <c r="V133" i="7"/>
  <c r="R133" i="7" s="1"/>
  <c r="V148" i="7"/>
  <c r="R148" i="7" s="1"/>
  <c r="V150" i="7"/>
  <c r="R150" i="7" s="1"/>
  <c r="V154" i="7"/>
  <c r="R154" i="7" s="1"/>
  <c r="V234" i="7"/>
  <c r="R234" i="7" s="1"/>
  <c r="V239" i="7"/>
  <c r="R239" i="7" s="1"/>
  <c r="V243" i="7"/>
  <c r="R243" i="7" s="1"/>
  <c r="V260" i="7"/>
  <c r="R260" i="7" s="1"/>
  <c r="V261" i="7"/>
  <c r="R261" i="7" s="1"/>
  <c r="V273" i="7"/>
  <c r="R273" i="7" s="1"/>
  <c r="V25" i="8"/>
  <c r="R25" i="8" s="1"/>
  <c r="V31" i="8"/>
  <c r="R31" i="8" s="1"/>
  <c r="V32" i="8"/>
  <c r="R32" i="8" s="1"/>
  <c r="V41" i="8"/>
  <c r="R41" i="8" s="1"/>
  <c r="V119" i="8"/>
  <c r="R119" i="8" s="1"/>
  <c r="V120" i="8"/>
  <c r="R120" i="8" s="1"/>
  <c r="V129" i="8"/>
  <c r="R129" i="8" s="1"/>
  <c r="V135" i="8"/>
  <c r="R135" i="8" s="1"/>
  <c r="V136" i="8"/>
  <c r="R136" i="8" s="1"/>
  <c r="V145" i="8"/>
  <c r="R145" i="8" s="1"/>
  <c r="V151" i="8"/>
  <c r="R151" i="8" s="1"/>
  <c r="V152" i="8"/>
  <c r="R152" i="8" s="1"/>
  <c r="V173" i="8"/>
  <c r="R173" i="8" s="1"/>
  <c r="V179" i="8"/>
  <c r="R179" i="8" s="1"/>
  <c r="V180" i="8"/>
  <c r="R180" i="8" s="1"/>
  <c r="V189" i="8"/>
  <c r="R189" i="8" s="1"/>
  <c r="V195" i="8"/>
  <c r="R195" i="8" s="1"/>
  <c r="V196" i="8"/>
  <c r="R196" i="8" s="1"/>
  <c r="V205" i="8"/>
  <c r="R205" i="8" s="1"/>
  <c r="V211" i="8"/>
  <c r="R211" i="8" s="1"/>
  <c r="V212" i="8"/>
  <c r="R212" i="8" s="1"/>
  <c r="V230" i="8"/>
  <c r="R230" i="8" s="1"/>
  <c r="V234" i="8"/>
  <c r="R234" i="8" s="1"/>
  <c r="V239" i="8"/>
  <c r="R239" i="8" s="1"/>
  <c r="V244" i="8"/>
  <c r="R244" i="8" s="1"/>
  <c r="V254" i="8"/>
  <c r="R254" i="8" s="1"/>
  <c r="V260" i="8"/>
  <c r="R260" i="8" s="1"/>
  <c r="V270" i="8"/>
  <c r="R270" i="8" s="1"/>
  <c r="V286" i="8"/>
  <c r="R286" i="8" s="1"/>
  <c r="V296" i="8"/>
  <c r="R296" i="8" s="1"/>
  <c r="V302" i="8"/>
  <c r="R302" i="8" s="1"/>
  <c r="V303" i="8"/>
  <c r="R303" i="8" s="1"/>
  <c r="V315" i="8"/>
  <c r="R315" i="8" s="1"/>
  <c r="V323" i="8"/>
  <c r="R323" i="8" s="1"/>
  <c r="V341" i="8"/>
  <c r="R341" i="8" s="1"/>
  <c r="V349" i="8"/>
  <c r="R349" i="8" s="1"/>
  <c r="V357" i="8"/>
  <c r="R357" i="8" s="1"/>
  <c r="V365" i="8"/>
  <c r="R365" i="8" s="1"/>
  <c r="V377" i="8"/>
  <c r="R377" i="8" s="1"/>
  <c r="V64" i="8"/>
  <c r="R64" i="8" s="1"/>
  <c r="V80" i="8"/>
  <c r="R80" i="8" s="1"/>
  <c r="V368" i="8"/>
  <c r="R368" i="8" s="1"/>
  <c r="V376" i="8"/>
  <c r="R376" i="8" s="1"/>
  <c r="V378" i="8"/>
  <c r="R378" i="8" s="1"/>
  <c r="V74" i="8"/>
  <c r="R74" i="8" s="1"/>
  <c r="V246" i="7"/>
  <c r="R246" i="7" s="1"/>
  <c r="V258" i="7"/>
  <c r="R258" i="7" s="1"/>
  <c r="V13" i="8"/>
  <c r="R13" i="8" s="1"/>
  <c r="V23" i="8"/>
  <c r="R23" i="8" s="1"/>
  <c r="V24" i="8"/>
  <c r="R24" i="8" s="1"/>
  <c r="V33" i="8"/>
  <c r="R33" i="8" s="1"/>
  <c r="V39" i="8"/>
  <c r="R39" i="8" s="1"/>
  <c r="V40" i="8"/>
  <c r="R40" i="8" s="1"/>
  <c r="V121" i="8"/>
  <c r="R121" i="8" s="1"/>
  <c r="V127" i="8"/>
  <c r="R127" i="8" s="1"/>
  <c r="V128" i="8"/>
  <c r="R128" i="8" s="1"/>
  <c r="V137" i="8"/>
  <c r="R137" i="8" s="1"/>
  <c r="V143" i="8"/>
  <c r="R143" i="8" s="1"/>
  <c r="V144" i="8"/>
  <c r="R144" i="8" s="1"/>
  <c r="V153" i="8"/>
  <c r="R153" i="8" s="1"/>
  <c r="V171" i="8"/>
  <c r="R171" i="8" s="1"/>
  <c r="V172" i="8"/>
  <c r="R172" i="8" s="1"/>
  <c r="V181" i="8"/>
  <c r="R181" i="8" s="1"/>
  <c r="V187" i="8"/>
  <c r="R187" i="8" s="1"/>
  <c r="V188" i="8"/>
  <c r="R188" i="8" s="1"/>
  <c r="V197" i="8"/>
  <c r="R197" i="8" s="1"/>
  <c r="V203" i="8"/>
  <c r="R203" i="8" s="1"/>
  <c r="V204" i="8"/>
  <c r="R204" i="8" s="1"/>
  <c r="V213" i="8"/>
  <c r="R213" i="8" s="1"/>
  <c r="V237" i="8"/>
  <c r="R237" i="8" s="1"/>
  <c r="V246" i="8"/>
  <c r="R246" i="8" s="1"/>
  <c r="V252" i="8"/>
  <c r="R252" i="8" s="1"/>
  <c r="V262" i="8"/>
  <c r="R262" i="8" s="1"/>
  <c r="V268" i="8"/>
  <c r="R268" i="8" s="1"/>
  <c r="V288" i="8"/>
  <c r="R288" i="8" s="1"/>
  <c r="V294" i="8"/>
  <c r="R294" i="8" s="1"/>
  <c r="V304" i="8"/>
  <c r="R304" i="8" s="1"/>
  <c r="V311" i="8"/>
  <c r="R311" i="8" s="1"/>
  <c r="V319" i="8"/>
  <c r="R319" i="8" s="1"/>
  <c r="V327" i="8"/>
  <c r="R327" i="8" s="1"/>
  <c r="V345" i="8"/>
  <c r="R345" i="8" s="1"/>
  <c r="V353" i="8"/>
  <c r="R353" i="8" s="1"/>
  <c r="V361" i="8"/>
  <c r="R361" i="8" s="1"/>
  <c r="V72" i="8"/>
  <c r="R72" i="8" s="1"/>
  <c r="V88" i="8"/>
  <c r="R88" i="8" s="1"/>
  <c r="V138" i="7"/>
  <c r="R138" i="7" s="1"/>
  <c r="V152" i="7"/>
  <c r="R152" i="7" s="1"/>
  <c r="V155" i="7"/>
  <c r="R155" i="7" s="1"/>
  <c r="V159" i="7"/>
  <c r="R159" i="7" s="1"/>
  <c r="V175" i="7"/>
  <c r="R175" i="7" s="1"/>
  <c r="V179" i="7"/>
  <c r="R179" i="7" s="1"/>
  <c r="V183" i="7"/>
  <c r="R183" i="7" s="1"/>
  <c r="V187" i="7"/>
  <c r="R187" i="7" s="1"/>
  <c r="V191" i="7"/>
  <c r="R191" i="7" s="1"/>
  <c r="V195" i="7"/>
  <c r="R195" i="7" s="1"/>
  <c r="V199" i="7"/>
  <c r="R199" i="7" s="1"/>
  <c r="V203" i="7"/>
  <c r="R203" i="7" s="1"/>
  <c r="V207" i="7"/>
  <c r="R207" i="7" s="1"/>
  <c r="V211" i="7"/>
  <c r="R211" i="7" s="1"/>
  <c r="V215" i="7"/>
  <c r="R215" i="7" s="1"/>
  <c r="V242" i="7"/>
  <c r="R242" i="7" s="1"/>
  <c r="V244" i="7"/>
  <c r="R244" i="7" s="1"/>
  <c r="V248" i="7"/>
  <c r="R248" i="7" s="1"/>
  <c r="V11" i="8"/>
  <c r="R11" i="8" s="1"/>
  <c r="V16" i="8"/>
  <c r="R16" i="8" s="1"/>
  <c r="V21" i="8"/>
  <c r="R21" i="8" s="1"/>
  <c r="V27" i="8"/>
  <c r="R27" i="8" s="1"/>
  <c r="V37" i="8"/>
  <c r="R37" i="8" s="1"/>
  <c r="V43" i="8"/>
  <c r="R43" i="8" s="1"/>
  <c r="V50" i="8"/>
  <c r="R50" i="8" s="1"/>
  <c r="V115" i="8"/>
  <c r="R115" i="8" s="1"/>
  <c r="V125" i="8"/>
  <c r="R125" i="8" s="1"/>
  <c r="V141" i="8"/>
  <c r="R141" i="8" s="1"/>
  <c r="V147" i="8"/>
  <c r="R147" i="8" s="1"/>
  <c r="V157" i="8"/>
  <c r="R157" i="8" s="1"/>
  <c r="V175" i="8"/>
  <c r="R175" i="8" s="1"/>
  <c r="V185" i="8"/>
  <c r="R185" i="8" s="1"/>
  <c r="V191" i="8"/>
  <c r="R191" i="8" s="1"/>
  <c r="V201" i="8"/>
  <c r="R201" i="8" s="1"/>
  <c r="V207" i="8"/>
  <c r="R207" i="8" s="1"/>
  <c r="V231" i="8"/>
  <c r="R231" i="8" s="1"/>
  <c r="V241" i="8"/>
  <c r="R241" i="8" s="1"/>
  <c r="V250" i="8"/>
  <c r="R250" i="8" s="1"/>
  <c r="V266" i="8"/>
  <c r="R266" i="8" s="1"/>
  <c r="V292" i="8"/>
  <c r="R292" i="8" s="1"/>
  <c r="V308" i="8"/>
  <c r="R308" i="8" s="1"/>
  <c r="V314" i="8"/>
  <c r="R314" i="8" s="1"/>
  <c r="V316" i="8"/>
  <c r="R316" i="8" s="1"/>
  <c r="V322" i="8"/>
  <c r="R322" i="8" s="1"/>
  <c r="V324" i="8"/>
  <c r="R324" i="8" s="1"/>
  <c r="V340" i="8"/>
  <c r="R340" i="8" s="1"/>
  <c r="V342" i="8"/>
  <c r="R342" i="8" s="1"/>
  <c r="V348" i="8"/>
  <c r="R348" i="8" s="1"/>
  <c r="V350" i="8"/>
  <c r="R350" i="8" s="1"/>
  <c r="V356" i="8"/>
  <c r="R356" i="8" s="1"/>
  <c r="V358" i="8"/>
  <c r="R358" i="8" s="1"/>
  <c r="V372" i="8"/>
  <c r="R372" i="8" s="1"/>
  <c r="V66" i="8"/>
  <c r="R66" i="8" s="1"/>
  <c r="V82" i="8"/>
  <c r="R82" i="8" s="1"/>
  <c r="V92" i="8"/>
  <c r="R92" i="8" s="1"/>
  <c r="V98" i="8"/>
  <c r="R98" i="8" s="1"/>
  <c r="V69" i="7"/>
  <c r="R69" i="7" s="1"/>
  <c r="V85" i="7"/>
  <c r="R85" i="7" s="1"/>
  <c r="V192" i="7"/>
  <c r="R192" i="7" s="1"/>
  <c r="V216" i="7"/>
  <c r="R216" i="7" s="1"/>
  <c r="V9" i="7"/>
  <c r="R9" i="7" s="1"/>
  <c r="V15" i="7"/>
  <c r="R15" i="7" s="1"/>
  <c r="V20" i="7"/>
  <c r="R20" i="7" s="1"/>
  <c r="V25" i="7"/>
  <c r="R25" i="7" s="1"/>
  <c r="V27" i="7"/>
  <c r="R27" i="7" s="1"/>
  <c r="V41" i="7"/>
  <c r="R41" i="7" s="1"/>
  <c r="V43" i="7"/>
  <c r="R43" i="7" s="1"/>
  <c r="V66" i="7"/>
  <c r="R66" i="7" s="1"/>
  <c r="V71" i="7"/>
  <c r="R71" i="7" s="1"/>
  <c r="V73" i="7"/>
  <c r="R73" i="7" s="1"/>
  <c r="V82" i="7"/>
  <c r="R82" i="7" s="1"/>
  <c r="V87" i="7"/>
  <c r="R87" i="7" s="1"/>
  <c r="V89" i="7"/>
  <c r="R89" i="7" s="1"/>
  <c r="V98" i="7"/>
  <c r="R98" i="7" s="1"/>
  <c r="V103" i="7"/>
  <c r="R103" i="7" s="1"/>
  <c r="V115" i="7"/>
  <c r="R115" i="7" s="1"/>
  <c r="V121" i="7"/>
  <c r="R121" i="7" s="1"/>
  <c r="V122" i="7"/>
  <c r="R122" i="7" s="1"/>
  <c r="V126" i="7"/>
  <c r="R126" i="7" s="1"/>
  <c r="V131" i="7"/>
  <c r="R131" i="7" s="1"/>
  <c r="V137" i="7"/>
  <c r="R137" i="7" s="1"/>
  <c r="V147" i="7"/>
  <c r="R147" i="7" s="1"/>
  <c r="V153" i="7"/>
  <c r="R153" i="7" s="1"/>
  <c r="V158" i="7"/>
  <c r="R158" i="7" s="1"/>
  <c r="V174" i="7"/>
  <c r="R174" i="7" s="1"/>
  <c r="V178" i="7"/>
  <c r="R178" i="7" s="1"/>
  <c r="V182" i="7"/>
  <c r="R182" i="7" s="1"/>
  <c r="V186" i="7"/>
  <c r="R186" i="7" s="1"/>
  <c r="V190" i="7"/>
  <c r="R190" i="7" s="1"/>
  <c r="V194" i="7"/>
  <c r="R194" i="7" s="1"/>
  <c r="V198" i="7"/>
  <c r="R198" i="7" s="1"/>
  <c r="V202" i="7"/>
  <c r="R202" i="7" s="1"/>
  <c r="V206" i="7"/>
  <c r="R206" i="7" s="1"/>
  <c r="V210" i="7"/>
  <c r="R210" i="7" s="1"/>
  <c r="V214" i="7"/>
  <c r="R214" i="7" s="1"/>
  <c r="V231" i="7"/>
  <c r="R231" i="7" s="1"/>
  <c r="V236" i="7"/>
  <c r="R236" i="7" s="1"/>
  <c r="V241" i="7"/>
  <c r="R241" i="7" s="1"/>
  <c r="V247" i="7"/>
  <c r="R247" i="7" s="1"/>
  <c r="V252" i="7"/>
  <c r="R252" i="7" s="1"/>
  <c r="V262" i="7"/>
  <c r="R262" i="7" s="1"/>
  <c r="V264" i="7"/>
  <c r="R264" i="7" s="1"/>
  <c r="V266" i="7"/>
  <c r="R266" i="7" s="1"/>
  <c r="V268" i="7"/>
  <c r="R268" i="7" s="1"/>
  <c r="V270" i="7"/>
  <c r="R270" i="7" s="1"/>
  <c r="V272" i="7"/>
  <c r="R272" i="7" s="1"/>
  <c r="V274" i="7"/>
  <c r="R274" i="7" s="1"/>
  <c r="V23" i="7"/>
  <c r="R23" i="7" s="1"/>
  <c r="V39" i="7"/>
  <c r="R39" i="7" s="1"/>
  <c r="V101" i="7"/>
  <c r="R101" i="7" s="1"/>
  <c r="V118" i="7"/>
  <c r="R118" i="7" s="1"/>
  <c r="V188" i="7"/>
  <c r="R188" i="7" s="1"/>
  <c r="V36" i="7"/>
  <c r="R36" i="7" s="1"/>
  <c r="V6" i="7"/>
  <c r="R6" i="7" s="1"/>
  <c r="V8" i="7"/>
  <c r="R8" i="7" s="1"/>
  <c r="V13" i="7"/>
  <c r="R13" i="7" s="1"/>
  <c r="V24" i="7"/>
  <c r="R24" i="7" s="1"/>
  <c r="V29" i="7"/>
  <c r="R29" i="7" s="1"/>
  <c r="V31" i="7"/>
  <c r="R31" i="7" s="1"/>
  <c r="V40" i="7"/>
  <c r="R40" i="7" s="1"/>
  <c r="V45" i="7"/>
  <c r="R45" i="7" s="1"/>
  <c r="V47" i="7"/>
  <c r="R47" i="7" s="1"/>
  <c r="V50" i="7"/>
  <c r="R50" i="7" s="1"/>
  <c r="V61" i="7"/>
  <c r="R61" i="7" s="1"/>
  <c r="V70" i="7"/>
  <c r="R70" i="7" s="1"/>
  <c r="V75" i="7"/>
  <c r="R75" i="7" s="1"/>
  <c r="V77" i="7"/>
  <c r="R77" i="7" s="1"/>
  <c r="V86" i="7"/>
  <c r="R86" i="7" s="1"/>
  <c r="V91" i="7"/>
  <c r="R91" i="7" s="1"/>
  <c r="V93" i="7"/>
  <c r="R93" i="7" s="1"/>
  <c r="V102" i="7"/>
  <c r="R102" i="7" s="1"/>
  <c r="V104" i="7"/>
  <c r="R104" i="7" s="1"/>
  <c r="V119" i="7"/>
  <c r="R119" i="7" s="1"/>
  <c r="V125" i="7"/>
  <c r="R125" i="7" s="1"/>
  <c r="V130" i="7"/>
  <c r="R130" i="7" s="1"/>
  <c r="V135" i="7"/>
  <c r="R135" i="7" s="1"/>
  <c r="V141" i="7"/>
  <c r="R141" i="7" s="1"/>
  <c r="V142" i="7"/>
  <c r="R142" i="7" s="1"/>
  <c r="V146" i="7"/>
  <c r="R146" i="7" s="1"/>
  <c r="V151" i="7"/>
  <c r="R151" i="7" s="1"/>
  <c r="V157" i="7"/>
  <c r="R157" i="7" s="1"/>
  <c r="V173" i="7"/>
  <c r="R173" i="7" s="1"/>
  <c r="V177" i="7"/>
  <c r="R177" i="7" s="1"/>
  <c r="V181" i="7"/>
  <c r="R181" i="7" s="1"/>
  <c r="V185" i="7"/>
  <c r="R185" i="7" s="1"/>
  <c r="V189" i="7"/>
  <c r="R189" i="7" s="1"/>
  <c r="V193" i="7"/>
  <c r="R193" i="7" s="1"/>
  <c r="V197" i="7"/>
  <c r="R197" i="7" s="1"/>
  <c r="V201" i="7"/>
  <c r="R201" i="7" s="1"/>
  <c r="V205" i="7"/>
  <c r="R205" i="7" s="1"/>
  <c r="V209" i="7"/>
  <c r="R209" i="7" s="1"/>
  <c r="V213" i="7"/>
  <c r="R213" i="7" s="1"/>
  <c r="V217" i="7"/>
  <c r="R217" i="7" s="1"/>
  <c r="V235" i="7"/>
  <c r="R235" i="7" s="1"/>
  <c r="V240" i="7"/>
  <c r="R240" i="7" s="1"/>
  <c r="V245" i="7"/>
  <c r="R245" i="7" s="1"/>
  <c r="V251" i="7"/>
  <c r="R251" i="7" s="1"/>
  <c r="V256" i="7"/>
  <c r="R256" i="7" s="1"/>
  <c r="V265" i="7"/>
  <c r="R265" i="7" s="1"/>
  <c r="V269" i="7"/>
  <c r="R269" i="7" s="1"/>
  <c r="V184" i="5"/>
  <c r="R184" i="5" s="1"/>
  <c r="V200" i="5"/>
  <c r="R200" i="5" s="1"/>
  <c r="V151" i="5"/>
  <c r="R151" i="5" s="1"/>
  <c r="V156" i="5"/>
  <c r="R156" i="5" s="1"/>
  <c r="V171" i="5"/>
  <c r="R171" i="5" s="1"/>
  <c r="V177" i="5"/>
  <c r="R177" i="5" s="1"/>
  <c r="V182" i="5"/>
  <c r="R182" i="5" s="1"/>
  <c r="V187" i="5"/>
  <c r="R187" i="5" s="1"/>
  <c r="V197" i="5"/>
  <c r="R197" i="5" s="1"/>
  <c r="V203" i="5"/>
  <c r="R203" i="5" s="1"/>
  <c r="V204" i="5"/>
  <c r="R204" i="5" s="1"/>
  <c r="V213" i="5"/>
  <c r="R213" i="5" s="1"/>
  <c r="V7" i="5"/>
  <c r="R7" i="5" s="1"/>
  <c r="V12" i="5"/>
  <c r="R12" i="5" s="1"/>
  <c r="V17" i="5"/>
  <c r="R17" i="5" s="1"/>
  <c r="V23" i="5"/>
  <c r="R23" i="5" s="1"/>
  <c r="V28" i="5"/>
  <c r="R28" i="5" s="1"/>
  <c r="V33" i="5"/>
  <c r="R33" i="5" s="1"/>
  <c r="V39" i="5"/>
  <c r="R39" i="5" s="1"/>
  <c r="V44" i="5"/>
  <c r="R44" i="5" s="1"/>
  <c r="V49" i="5"/>
  <c r="R49" i="5" s="1"/>
  <c r="V64" i="5"/>
  <c r="R64" i="5" s="1"/>
  <c r="V69" i="5"/>
  <c r="R69" i="5" s="1"/>
  <c r="V74" i="5"/>
  <c r="R74" i="5" s="1"/>
  <c r="V80" i="5"/>
  <c r="R80" i="5" s="1"/>
  <c r="V85" i="5"/>
  <c r="R85" i="5" s="1"/>
  <c r="V90" i="5"/>
  <c r="R90" i="5" s="1"/>
  <c r="V96" i="5"/>
  <c r="R96" i="5" s="1"/>
  <c r="V101" i="5"/>
  <c r="R101" i="5" s="1"/>
  <c r="V119" i="5"/>
  <c r="R119" i="5" s="1"/>
  <c r="V124" i="5"/>
  <c r="R124" i="5" s="1"/>
  <c r="V129" i="5"/>
  <c r="R129" i="5" s="1"/>
  <c r="V135" i="5"/>
  <c r="R135" i="5" s="1"/>
  <c r="V140" i="5"/>
  <c r="R140" i="5" s="1"/>
  <c r="V145" i="5"/>
  <c r="R145" i="5" s="1"/>
  <c r="V11" i="5"/>
  <c r="R11" i="5" s="1"/>
  <c r="V16" i="5"/>
  <c r="R16" i="5" s="1"/>
  <c r="V21" i="5"/>
  <c r="R21" i="5" s="1"/>
  <c r="V27" i="5"/>
  <c r="R27" i="5" s="1"/>
  <c r="V32" i="5"/>
  <c r="R32" i="5" s="1"/>
  <c r="V37" i="5"/>
  <c r="R37" i="5" s="1"/>
  <c r="V43" i="5"/>
  <c r="R43" i="5" s="1"/>
  <c r="V48" i="5"/>
  <c r="R48" i="5" s="1"/>
  <c r="V62" i="5"/>
  <c r="R62" i="5" s="1"/>
  <c r="V68" i="5"/>
  <c r="R68" i="5" s="1"/>
  <c r="V73" i="5"/>
  <c r="R73" i="5" s="1"/>
  <c r="V78" i="5"/>
  <c r="R78" i="5" s="1"/>
  <c r="V84" i="5"/>
  <c r="R84" i="5" s="1"/>
  <c r="V89" i="5"/>
  <c r="R89" i="5" s="1"/>
  <c r="V94" i="5"/>
  <c r="R94" i="5" s="1"/>
  <c r="V100" i="5"/>
  <c r="R100" i="5" s="1"/>
  <c r="V117" i="5"/>
  <c r="R117" i="5" s="1"/>
  <c r="V123" i="5"/>
  <c r="R123" i="5" s="1"/>
  <c r="V128" i="5"/>
  <c r="R128" i="5" s="1"/>
  <c r="V133" i="5"/>
  <c r="R133" i="5" s="1"/>
  <c r="V139" i="5"/>
  <c r="R139" i="5" s="1"/>
  <c r="V144" i="5"/>
  <c r="R144" i="5" s="1"/>
  <c r="V149" i="5"/>
  <c r="R149" i="5" s="1"/>
  <c r="V155" i="5"/>
  <c r="R155" i="5" s="1"/>
  <c r="V170" i="5"/>
  <c r="R170" i="5" s="1"/>
  <c r="V175" i="5"/>
  <c r="R175" i="5" s="1"/>
  <c r="V181" i="5"/>
  <c r="R181" i="5" s="1"/>
  <c r="V185" i="5"/>
  <c r="R185" i="5" s="1"/>
  <c r="V191" i="5"/>
  <c r="R191" i="5" s="1"/>
  <c r="V192" i="5"/>
  <c r="R192" i="5" s="1"/>
  <c r="V201" i="5"/>
  <c r="R201" i="5" s="1"/>
  <c r="V207" i="5"/>
  <c r="R207" i="5" s="1"/>
  <c r="V208" i="5"/>
  <c r="R208" i="5" s="1"/>
  <c r="V7" i="3"/>
  <c r="R7" i="3" s="1"/>
  <c r="V63" i="3"/>
  <c r="R63" i="3" s="1"/>
  <c r="V71" i="3"/>
  <c r="R71" i="3" s="1"/>
  <c r="V79" i="3"/>
  <c r="R79" i="3" s="1"/>
  <c r="V89" i="3"/>
  <c r="R89" i="3" s="1"/>
  <c r="V91" i="3"/>
  <c r="R91" i="3" s="1"/>
  <c r="V183" i="5"/>
  <c r="R183" i="5" s="1"/>
  <c r="V275" i="7"/>
  <c r="R275" i="7" s="1"/>
  <c r="V123" i="8"/>
  <c r="R123" i="8" s="1"/>
  <c r="V131" i="8"/>
  <c r="R131" i="8" s="1"/>
  <c r="V257" i="7"/>
  <c r="R257" i="7" s="1"/>
  <c r="V248" i="8"/>
  <c r="R248" i="8" s="1"/>
  <c r="V256" i="8"/>
  <c r="R256" i="8" s="1"/>
  <c r="V264" i="8"/>
  <c r="R264" i="8" s="1"/>
  <c r="V272" i="8"/>
  <c r="R272" i="8" s="1"/>
  <c r="V290" i="8"/>
  <c r="R290" i="8" s="1"/>
  <c r="V298" i="8"/>
  <c r="R298" i="8" s="1"/>
  <c r="V58" i="8"/>
  <c r="R58" i="8" s="1"/>
  <c r="V245" i="8"/>
  <c r="R245" i="8" s="1"/>
  <c r="V253" i="8"/>
  <c r="R253" i="8" s="1"/>
  <c r="V261" i="8"/>
  <c r="R261" i="8" s="1"/>
  <c r="V269" i="8"/>
  <c r="R269" i="8" s="1"/>
  <c r="V287" i="8"/>
  <c r="R287" i="8" s="1"/>
  <c r="V295" i="8"/>
  <c r="R295" i="8" s="1"/>
  <c r="V301" i="8"/>
  <c r="R301" i="8" s="1"/>
  <c r="V384" i="8"/>
  <c r="R384" i="8" s="1"/>
  <c r="V63" i="8"/>
  <c r="R63" i="8" s="1"/>
  <c r="V71" i="8"/>
  <c r="R71" i="8" s="1"/>
  <c r="V79" i="8"/>
  <c r="R79" i="8" s="1"/>
  <c r="V87" i="8"/>
  <c r="R87" i="8" s="1"/>
  <c r="V95" i="8"/>
  <c r="R95" i="8" s="1"/>
  <c r="V103" i="8"/>
  <c r="R103" i="8" s="1"/>
  <c r="V383" i="8"/>
  <c r="R383" i="8" s="1"/>
  <c r="V62" i="8"/>
  <c r="R62" i="8" s="1"/>
  <c r="V70" i="8"/>
  <c r="R70" i="8" s="1"/>
  <c r="V78" i="8"/>
  <c r="R78" i="8" s="1"/>
  <c r="V86" i="8"/>
  <c r="R86" i="8" s="1"/>
  <c r="V94" i="8"/>
  <c r="R94" i="8" s="1"/>
  <c r="V102" i="8"/>
  <c r="R102" i="8" s="1"/>
  <c r="V249" i="8"/>
  <c r="R249" i="8" s="1"/>
  <c r="V257" i="8"/>
  <c r="R257" i="8" s="1"/>
  <c r="V265" i="8"/>
  <c r="R265" i="8" s="1"/>
  <c r="V283" i="8"/>
  <c r="R283" i="8" s="1"/>
  <c r="V291" i="8"/>
  <c r="R291" i="8" s="1"/>
  <c r="V299" i="8"/>
  <c r="R299" i="8" s="1"/>
  <c r="V306" i="8"/>
  <c r="R306" i="8" s="1"/>
  <c r="V59" i="8"/>
  <c r="R59" i="8" s="1"/>
  <c r="V67" i="8"/>
  <c r="R67" i="8" s="1"/>
  <c r="V75" i="8"/>
  <c r="R75" i="8" s="1"/>
  <c r="V83" i="8"/>
  <c r="R83" i="8" s="1"/>
  <c r="V91" i="8"/>
  <c r="R91" i="8" s="1"/>
  <c r="V99" i="8"/>
  <c r="R9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5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5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5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5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1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11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5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58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11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11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167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167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58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58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11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11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169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169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58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58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11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11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169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169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227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227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285" authorId="0" shapeId="0" xr:uid="{30888E63-2327-472B-BC14-70FC23D01F9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285" authorId="0" shapeId="0" xr:uid="{E9C6654D-E106-4519-97F5-297C4208DD4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5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55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110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110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168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168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224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224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280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280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  <comment ref="K336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Evalua el interès del estudiante por mejorar acadèmicamente ( su participaciòn y perseverancia por superar debilidades)</t>
        </r>
      </text>
    </comment>
    <comment ref="N336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Incluye: Presentaciòn personal, puntualidad, relaciones interpersonales y comportamiento escolar.</t>
        </r>
      </text>
    </comment>
  </commentList>
</comments>
</file>

<file path=xl/sharedStrings.xml><?xml version="1.0" encoding="utf-8"?>
<sst xmlns="http://schemas.openxmlformats.org/spreadsheetml/2006/main" count="1556" uniqueCount="933">
  <si>
    <t>Nº</t>
  </si>
  <si>
    <t>APELLIDOS Y NOMBRES</t>
  </si>
  <si>
    <t>ACUM. SEMANAL</t>
  </si>
  <si>
    <t>DEF</t>
  </si>
  <si>
    <t>INASISTENCIAS</t>
  </si>
  <si>
    <t>Taller</t>
  </si>
  <si>
    <t>Tarea</t>
  </si>
  <si>
    <t>Indicador de desempeño</t>
  </si>
  <si>
    <t>DEF PER I</t>
  </si>
  <si>
    <t>Nota 1</t>
  </si>
  <si>
    <t>Nota 2</t>
  </si>
  <si>
    <t>DEFINITIVA POR PERÍODO</t>
  </si>
  <si>
    <t>ACTIVIDADES ACADÉMICAS 80%</t>
  </si>
  <si>
    <t>ACTITUDINAL 10%</t>
  </si>
  <si>
    <t>FINAL</t>
  </si>
  <si>
    <t>AUTOEVALUACIÓNAXIOLÓGICA 10 %</t>
  </si>
  <si>
    <t xml:space="preserve">PBA 10% </t>
  </si>
  <si>
    <t>Trabajo</t>
  </si>
  <si>
    <t>ASIGNATURA: 
PERÍODO: 1</t>
  </si>
  <si>
    <t xml:space="preserve">PERÍODO: </t>
  </si>
  <si>
    <t xml:space="preserve">DOCENTE: </t>
  </si>
  <si>
    <t>CURSO: 11. 02</t>
  </si>
  <si>
    <t>CURSO: 11.01</t>
  </si>
  <si>
    <t>CURSO: 10.03</t>
  </si>
  <si>
    <t>CURSO: 10. 02</t>
  </si>
  <si>
    <t>CURSO: 10.01</t>
  </si>
  <si>
    <t>FUENTES PINTO LUISA FERNANDA</t>
  </si>
  <si>
    <t>FUENTES PINTO MIGUEL FERNANDO</t>
  </si>
  <si>
    <t>LOPEZ MELENDEZ BREINER ENRIQUE</t>
  </si>
  <si>
    <t>ROJAS HERNANDEZ ANDERSON DAVID</t>
  </si>
  <si>
    <t>CURSO: 9.03</t>
  </si>
  <si>
    <t>CURSO: 9. 02</t>
  </si>
  <si>
    <t>CURSO: 9.01</t>
  </si>
  <si>
    <t>CURSO: 8.01</t>
  </si>
  <si>
    <t>CURSO: 8. 02</t>
  </si>
  <si>
    <t>CURSO: 8.03</t>
  </si>
  <si>
    <t>CURSO:8.04</t>
  </si>
  <si>
    <t>CURSO: 7.01</t>
  </si>
  <si>
    <t>CURSO: 7. 02</t>
  </si>
  <si>
    <t>CURSO: 7.03</t>
  </si>
  <si>
    <t>CURSO: 7.04</t>
  </si>
  <si>
    <t>CURSO: 7.05</t>
  </si>
  <si>
    <t>CAMPO GUERRA LINDA CAROLINA</t>
  </si>
  <si>
    <t>CUDRIZ JIMENEZ AZUMIS DEL CARMEN</t>
  </si>
  <si>
    <t>GONZALEZ MORENO LUZ ANDREA</t>
  </si>
  <si>
    <t>FIGUEROA RODRIGUEZ JOSE DAVID</t>
  </si>
  <si>
    <t>HENAO FONSECA SEBASTIAN DAVID</t>
  </si>
  <si>
    <t>TORRES CARRILLO YUZI KAIRETH</t>
  </si>
  <si>
    <t>FONSECA ROZZO ELFIN DE JESUS</t>
  </si>
  <si>
    <t>MENDOZA CUELLO LUISA CAROLINA</t>
  </si>
  <si>
    <t>MORALES CHAPARRO ANDREA CAMILA</t>
  </si>
  <si>
    <t>MUGNO CARDONA KEIDYS PRINCESA</t>
  </si>
  <si>
    <t>PEREZ CARRILLO KAMILO ANDRES</t>
  </si>
  <si>
    <t xml:space="preserve">TOBIAS RIVERA VALENTINA </t>
  </si>
  <si>
    <t>VERGEL TRUJILLO DREINIS YULIANA</t>
  </si>
  <si>
    <t>CASTRO ARIAS RAFAEL DAVID</t>
  </si>
  <si>
    <t>MEJIA ALDANA MATTIAS JAFETH</t>
  </si>
  <si>
    <t>PEÑA BERDUGO DUVAL DAVID</t>
  </si>
  <si>
    <t>PEREZ PEREZ YASIRIS LISETH</t>
  </si>
  <si>
    <t xml:space="preserve">RUIZ GALINDO NATALIA </t>
  </si>
  <si>
    <t>SANTOS PRIETO JESUS ALBERTO</t>
  </si>
  <si>
    <t xml:space="preserve">   </t>
  </si>
  <si>
    <t>ARAUJO PANA SHARITH DAYANA</t>
  </si>
  <si>
    <t>BERRIO MARULANDA DIANIS NICOOLL</t>
  </si>
  <si>
    <t>CABANA LOPEZ SAIR ANDRES</t>
  </si>
  <si>
    <t>CASTILLO SILVA KRISBELYS ANDREINA</t>
  </si>
  <si>
    <t>CORTECERO PARRA MARISOL CECILIA</t>
  </si>
  <si>
    <t>DAZA CASTRO JHON DAVID</t>
  </si>
  <si>
    <t>DAZA DOMINGUEZ DANNA VALENTINA</t>
  </si>
  <si>
    <t>DAZA ROMERO JUAN CAMILO</t>
  </si>
  <si>
    <t>DIAZ CALDERON LUIS ANGEL</t>
  </si>
  <si>
    <t>FLORIAN CAMARGO CARLOS ELIECER</t>
  </si>
  <si>
    <t>GOMEZ BERDUGO ANDRES CAMILO</t>
  </si>
  <si>
    <t>GONZALEZ RAMOS KAROL DAYANA</t>
  </si>
  <si>
    <t>GRANADOS ROLON MARIA CAMILA</t>
  </si>
  <si>
    <t>GUTIERREZ MARTINEZ EILEEN MARGARITA</t>
  </si>
  <si>
    <t>HERRERA MOLINA JESUS ADRIAN</t>
  </si>
  <si>
    <t xml:space="preserve">MACIAS LIDUEÑAS DENYER </t>
  </si>
  <si>
    <t>MENDOZA ARAMENDIZ BEISI LILIANA</t>
  </si>
  <si>
    <t>MENDOZA  SARAY CRISTINA</t>
  </si>
  <si>
    <t>MONROY ROJAS EDSON RAFAEL</t>
  </si>
  <si>
    <t>MONTERO NIEVES ADRIANA MICHELLE</t>
  </si>
  <si>
    <t>OCHOA HERNANDEZ JOSE LUIS</t>
  </si>
  <si>
    <t>POLO PALENCIA NICOL DAYANA</t>
  </si>
  <si>
    <t>RIOS CONTRERAS DUVERT ANDRES</t>
  </si>
  <si>
    <t>RODRIGUEZ HERNANDEZ LUIS JOSE</t>
  </si>
  <si>
    <t>RODRIGUEZ JULIO YIRLEY PAOLA</t>
  </si>
  <si>
    <t>VILLALOBOS RIOS KEINER JAVIER</t>
  </si>
  <si>
    <t xml:space="preserve">VILLAMIL ARIAS SANTIAGO </t>
  </si>
  <si>
    <t>ARDILA CHINCHILLA KAROL JULIETH</t>
  </si>
  <si>
    <t>ARRIETA HERNANDEZ MARYIN LICETH</t>
  </si>
  <si>
    <t>BARCELO RENDON NICOL SHARITH</t>
  </si>
  <si>
    <t>BECERRA TROYA LINA MARCELA</t>
  </si>
  <si>
    <t>BENJUMEA ARIAS ADRIAN FELIPE</t>
  </si>
  <si>
    <t>CAMELO JIMENEZ LINDA VALENTINA</t>
  </si>
  <si>
    <t>CAMELO JIMENEZ VALERIA MICHELL</t>
  </si>
  <si>
    <t>CARREÑO VIVEROS MARIA ALEXANDRA</t>
  </si>
  <si>
    <t>EGUIS NARVAEZ LUIS ALBERTO</t>
  </si>
  <si>
    <t>GRANADOS QUINTERO SHERIL NICOLL</t>
  </si>
  <si>
    <t>HERRON FABRA YINETH PAOLA</t>
  </si>
  <si>
    <t>MOLINA CASTILLA SEBASTIAN ANDRES</t>
  </si>
  <si>
    <t>OLIVEROS GARRIDO DANIEL CAMILO</t>
  </si>
  <si>
    <t>PABON CAMERA YORLAN DAVID</t>
  </si>
  <si>
    <t>PEÑARANDA JUSTINICO CAROL DAYANA</t>
  </si>
  <si>
    <t>POLO CARBONO DAINYS PAOLA</t>
  </si>
  <si>
    <t>SANCHEZ CANTILLO YESICA ALEXANDRA</t>
  </si>
  <si>
    <t>SURMAY GUERRERO CRISTIAN DAVID</t>
  </si>
  <si>
    <t>TOLOZA LORA DAVID LEONARDO</t>
  </si>
  <si>
    <t>ARIAS GONZALEZ LINA MARCELA</t>
  </si>
  <si>
    <t>CASTRO TREJO ALEJANDRO ENRIQUE</t>
  </si>
  <si>
    <t>CUEVAS RIVERO DAYANA MICHEL</t>
  </si>
  <si>
    <t>DIAZ BRACHO JESUS ALBERTO</t>
  </si>
  <si>
    <t>DIAZ BRACHO JOSE ALBERTO</t>
  </si>
  <si>
    <t>FONTALVO AMARIS JUAN JOSE</t>
  </si>
  <si>
    <t>MEJIA AVILA DANIEL DAVID</t>
  </si>
  <si>
    <t>MINDIOLA RODRIGUEZ SERLY JOHANA</t>
  </si>
  <si>
    <t>PELAEZ CHAVES FRAILEN DAVID</t>
  </si>
  <si>
    <t>RAMOS AYALA LUIS DAVID</t>
  </si>
  <si>
    <t>RODRIGUEZ MIRANDA CAROL SOFIA</t>
  </si>
  <si>
    <t>ROJAS SOTO WILMER SEBASTIAN</t>
  </si>
  <si>
    <t>SOLANO GONZALEZ CAMILO ANDRES</t>
  </si>
  <si>
    <t>SOTO OCHOA IVAN DE JESUS</t>
  </si>
  <si>
    <t>USTARIZ LEAL MIGUEL ANGEL</t>
  </si>
  <si>
    <t>ZUÑIGA TURIZO FRANK CAMILO</t>
  </si>
  <si>
    <t>ACOSTA RAT JUAN PABLO</t>
  </si>
  <si>
    <t>AVILA OSPINO CAROLAY ANDREA</t>
  </si>
  <si>
    <t>CENTENO RODRIGUEZ CARLOS ANDRES</t>
  </si>
  <si>
    <t>CORTES MIRANDA NEIR YOSUATH</t>
  </si>
  <si>
    <t xml:space="preserve">DURAN RODRIGUEZ JASBLEIDIS </t>
  </si>
  <si>
    <t>FIGUEROA RODRIGUEZ GREISI CAROLINA</t>
  </si>
  <si>
    <t>GARCIA GONZALEZ JUAN DAVID</t>
  </si>
  <si>
    <t xml:space="preserve">GOMEZ GOMEZ GERONIMO </t>
  </si>
  <si>
    <t>MARTINEZ DAZA ADRIANA LUCIA</t>
  </si>
  <si>
    <t>MOSQUEDA GONZALEZ MIGUEL ANGEL</t>
  </si>
  <si>
    <t>NIEVES BAYONA YORDAN YESID</t>
  </si>
  <si>
    <t>ORTIZ GONZALEZ FERNANDO DAVID</t>
  </si>
  <si>
    <t xml:space="preserve">OSPINO ACOSTA ROSANY </t>
  </si>
  <si>
    <t>PERALTA PEREZ CAMILO ANDRES</t>
  </si>
  <si>
    <t>PINEDA RAMOS CESAR DAVID</t>
  </si>
  <si>
    <t>POLO GAMBOA DANNA VALENTINA</t>
  </si>
  <si>
    <t>QUINTERO RAMIREZ ESTEBAN ENRIQUE</t>
  </si>
  <si>
    <t>SANCHEZ ACOSTA LUISA FERNANDA</t>
  </si>
  <si>
    <t>SILVA CARPIO NICOL DAYANA</t>
  </si>
  <si>
    <t>VELASQUEZ RIVERA YOSMELIS MILENA</t>
  </si>
  <si>
    <t>AMAYA HERNANDEZ YAMILETH YADITH</t>
  </si>
  <si>
    <t>CHIQUILLO CARRANZA INES MARIANA</t>
  </si>
  <si>
    <t>DAZA FERIA ANDERSON SMITH</t>
  </si>
  <si>
    <t>ESPITIA GODOY JESUS MANUEL</t>
  </si>
  <si>
    <t>IGUARAN CANTILLO SEBASTIAN CAMILO</t>
  </si>
  <si>
    <t>CURSO: 6.01</t>
  </si>
  <si>
    <t>CURSO: 6. 02</t>
  </si>
  <si>
    <t>CURSO: 6.03</t>
  </si>
  <si>
    <t>CURSO: 6.04</t>
  </si>
  <si>
    <t>CURSO: 6.05</t>
  </si>
  <si>
    <t>CURSO: 6.06</t>
  </si>
  <si>
    <t>CURSO: 6.07</t>
  </si>
  <si>
    <t>CEDIEL BUENAVENTURA CRISTIAN DANIEL</t>
  </si>
  <si>
    <t>CENTENO RODRIGUEZ LIONEL ANDRES</t>
  </si>
  <si>
    <t xml:space="preserve">CORTES HERRERA YUNEIDYS </t>
  </si>
  <si>
    <t>DIAZ CHINCHILLA CESAR YESID</t>
  </si>
  <si>
    <t>GOMEZ YEPES JHON DEIVI</t>
  </si>
  <si>
    <t>MARTINEZ PACHECO CHARITH MARIAS</t>
  </si>
  <si>
    <t>POLANIA NAVARRO ISAAC DAVID</t>
  </si>
  <si>
    <t>ROMERO MANCILLA SERGIO LUIS</t>
  </si>
  <si>
    <t>ACOSTA GARCIA KEVIN JOSE</t>
  </si>
  <si>
    <t>BARRAZA TORRES NAOMIS YAIRETH</t>
  </si>
  <si>
    <t>CABARCAS GONZALEZ CARLOS ELIAS</t>
  </si>
  <si>
    <t>CARDENAS SALAS MARIANNYS SOFIA</t>
  </si>
  <si>
    <t xml:space="preserve">DOMINGUEZ GARCIA LISNEY </t>
  </si>
  <si>
    <t>FERIA PUMAREJO BAIRON ANDRES</t>
  </si>
  <si>
    <t>FONTALVO CORTEZ JEIVINSON STHID</t>
  </si>
  <si>
    <t>FUENTES PINTO JAIME DE JESUS</t>
  </si>
  <si>
    <t xml:space="preserve">GALVIS GARCIA LUCIANA </t>
  </si>
  <si>
    <t>GARCIA GAMEZ JOHAN ARLEI</t>
  </si>
  <si>
    <t xml:space="preserve">GONZALEZ PAEZ JHONALBIS </t>
  </si>
  <si>
    <t>MACHADO GARCIA NAILIN SOFIA</t>
  </si>
  <si>
    <t>MARQUEZ MEJIA CARLOS DANIEL</t>
  </si>
  <si>
    <t>MARTINEZ PERTUZ FABIANA MARIA</t>
  </si>
  <si>
    <t>MAX MOLINA DANNA PAOLA</t>
  </si>
  <si>
    <t>MEJIA ALDANA THOMAS SANTIAGO</t>
  </si>
  <si>
    <t>MONTEJO CASTRO SALOME SOFIA</t>
  </si>
  <si>
    <t>MORANTES VICTOR KENDRY SOFIA</t>
  </si>
  <si>
    <t>NIÑO CONTRERAS KEVIN ALFONSO</t>
  </si>
  <si>
    <t>PABA BOLAÑO LINEY SOFIA</t>
  </si>
  <si>
    <t>PEREZ FERRER ANDRES FELIPE</t>
  </si>
  <si>
    <t>RODRIGUEZ AMARIS ALEXIS DAVID</t>
  </si>
  <si>
    <t>RODRIGUEZ LIÑAN ANDREA CAROLINA</t>
  </si>
  <si>
    <t>RODRIGUEZ LIÑAN OSCAR ANDRES</t>
  </si>
  <si>
    <t>BARRAZA GALVIS EYDI YOLANDA</t>
  </si>
  <si>
    <t>BULA PEREZ SANTIAGO ANDRES</t>
  </si>
  <si>
    <t>CARDENAS PEÑA YEFERSON ALBERTO</t>
  </si>
  <si>
    <t>CRUZ FLOREZ BRANYER JOSE</t>
  </si>
  <si>
    <t>HERRERA GIRALDO ADRIANA SOFIA</t>
  </si>
  <si>
    <t>MARTINEZ LIZCANO JHOHAN STEVEN</t>
  </si>
  <si>
    <t>MEJIA ALDANA VALERY SOFIA</t>
  </si>
  <si>
    <t>MENDOZA ARAMENDIZ GUALFRAN DE JESUS</t>
  </si>
  <si>
    <t>MORENO RIOS LEONARDO MIGUEL</t>
  </si>
  <si>
    <t>NARVAEZ MEJIA YEILYS MAILETH</t>
  </si>
  <si>
    <t>PALACIO SALAS JHOHAN KALETH</t>
  </si>
  <si>
    <t>PERALTA SORACA HEIDER SAITH</t>
  </si>
  <si>
    <t>RAMIREZ OSPINO SOL MARINA</t>
  </si>
  <si>
    <t>RIVERA MOLINA SARA SARAY</t>
  </si>
  <si>
    <t xml:space="preserve">RODRIGUEZ ARRIETA MATIAS </t>
  </si>
  <si>
    <t>ROSADO BARRERA SAHARA ISABEL</t>
  </si>
  <si>
    <t>SALAS CHINCHILLA NATALY SOFIA</t>
  </si>
  <si>
    <t xml:space="preserve">TORRES LEAL THALIA </t>
  </si>
  <si>
    <t>ARIZA ALTAHONA AIDER LUIS</t>
  </si>
  <si>
    <t>BEUFORD DELGADO JADER SMITH</t>
  </si>
  <si>
    <t>CANTILLO GONZALEZ ANDRES DAVID</t>
  </si>
  <si>
    <t>FARIA GALUE JUAN DAVID</t>
  </si>
  <si>
    <t xml:space="preserve">GUARDO PACHECO VALENTINA </t>
  </si>
  <si>
    <t>GUTIERREZ BOLAÑO MILLER ELIAN</t>
  </si>
  <si>
    <t>GUTIERREZ SUAREZ BRAYAN SLEIDER</t>
  </si>
  <si>
    <t>JAIMES MEJIA SHARITT MICHELL</t>
  </si>
  <si>
    <t>JIMENEZ RENDON ESTEBAN ESMITH</t>
  </si>
  <si>
    <t>LEAL ACOSTA LINDA MARCELA</t>
  </si>
  <si>
    <t xml:space="preserve">MARTINEZ CAMARILLO NATASSHA </t>
  </si>
  <si>
    <t>MORALES CHAPARRO ALYAN CAROLINA</t>
  </si>
  <si>
    <t>OCHOA VALOYES DAILETH ANDREA</t>
  </si>
  <si>
    <t>PACHECO CASARRUBIA ASHLEY NIKOLL</t>
  </si>
  <si>
    <t>PAEZ CASTRO OMAR STEVEN</t>
  </si>
  <si>
    <t>PARRAO ARRIETA ANDREA PAOLA</t>
  </si>
  <si>
    <t>PAYARES BOLIVAR LUIS DAVID</t>
  </si>
  <si>
    <t>PEÑA TAPIA JEINER SANTIAGO</t>
  </si>
  <si>
    <t>PINZÓN JEREZ YIRETH VALENTINA</t>
  </si>
  <si>
    <t>PORTO CASTRO SAILETH PAOLA</t>
  </si>
  <si>
    <t xml:space="preserve">RAMIREZ OSPINO SEBASTIAN </t>
  </si>
  <si>
    <t>ROBLES MIRANDA DANIEL FELIPE</t>
  </si>
  <si>
    <t>TURISO RODRIGUEZ ANDREA CAMILA</t>
  </si>
  <si>
    <t>VANEGAS TORRES MONICA YAIRETH</t>
  </si>
  <si>
    <t>ZEMANATE MENDOZA CRISTIAN CAMILO</t>
  </si>
  <si>
    <t xml:space="preserve">ARIAS FANDIÑO SALOME </t>
  </si>
  <si>
    <t>BENJUMEA ARIAS ESTEFANI MICHEL</t>
  </si>
  <si>
    <t>CADAVID GOMEZ JUAN CARLOS</t>
  </si>
  <si>
    <t>FUENTES RAMOS ZAITY CLAIRE</t>
  </si>
  <si>
    <t>GIL MARQUEZ MARIELIS SOFIA</t>
  </si>
  <si>
    <t>LEONIS BARRAGAN RAFAEL DAVID</t>
  </si>
  <si>
    <t>LOPEZ GUTIERREZ NAIRELIS ALEJANDRA</t>
  </si>
  <si>
    <t>MOLINA VEGA ALEX DAVID</t>
  </si>
  <si>
    <t>MORALES MANGA ISSAC DAVID</t>
  </si>
  <si>
    <t>PONTON GUTIERREZ CRISTIAN JOSE</t>
  </si>
  <si>
    <t>SIERRA TAMARA PABLO JOSE</t>
  </si>
  <si>
    <t>SIIMANCA GAMBOA JESUS ADRIAN</t>
  </si>
  <si>
    <t>SUAREZ OROZCO ESTEFANI PAOLA</t>
  </si>
  <si>
    <t>TRILLO RODRIGUEZ LAURA MARCELA</t>
  </si>
  <si>
    <t>BOSSIO ALVEAR LUIS SANTIAGO</t>
  </si>
  <si>
    <t>CADAVID SANTIAGO KIARA MILENA</t>
  </si>
  <si>
    <t xml:space="preserve">DELGADO HILZACA YOCELIN </t>
  </si>
  <si>
    <t>DURAN HERNANDEZ CAMILA ANDREA</t>
  </si>
  <si>
    <t>GONZALEZ SIERRA DAMIAN MATIAS</t>
  </si>
  <si>
    <t>GUZMAN PAJARO DANIEL DAVID</t>
  </si>
  <si>
    <t>MALDONADO DE ARCO LUZ JULIANA</t>
  </si>
  <si>
    <t>MIRANDA AROCA MARIA ELENA</t>
  </si>
  <si>
    <t>MOLINA VARGAS VALERIA MILET</t>
  </si>
  <si>
    <t>MONTERO MARTINEZ SHARLIS PATRICIA</t>
  </si>
  <si>
    <t>PACHECO ORTIZ EVELYN SOFIA</t>
  </si>
  <si>
    <t>PALLARES BRAVO DYLAN CALEB</t>
  </si>
  <si>
    <t xml:space="preserve">ROJAS ALVEAR DANIEL </t>
  </si>
  <si>
    <t>SIERRA BUELVAS DANNY ELIAS</t>
  </si>
  <si>
    <t>VENERA TERAN JOHAN DAVID</t>
  </si>
  <si>
    <t>AVILA PEDROZA ARNOLD RAFAEL</t>
  </si>
  <si>
    <t xml:space="preserve">AVILA VILLEGAS MARTIN </t>
  </si>
  <si>
    <t>CAMACHO GRANADOS CARLOS JAVIER</t>
  </si>
  <si>
    <t>CAMELO JIMENEZ BELKIS SANDRITH</t>
  </si>
  <si>
    <t>DURAN RANGEL JAVIER DAVID</t>
  </si>
  <si>
    <t>ESCALANTE MENDOZA JENNY PAOLA</t>
  </si>
  <si>
    <t>MAHECHA SALCEDO MIGUEL ANGEL</t>
  </si>
  <si>
    <t>MANJARRES CABRERA ISABELA SOFIA</t>
  </si>
  <si>
    <t>MANJARRES QUINTERO DANA SOFIA</t>
  </si>
  <si>
    <t>MARQUEZ QUINTERO LUIS DANIEL</t>
  </si>
  <si>
    <t xml:space="preserve">MARTINEZ CAMACHO ALEXANDER </t>
  </si>
  <si>
    <t>MATUTE AMARIS ELIMELETH DE JESUS</t>
  </si>
  <si>
    <t>MORENO MEZA JUAN DAVID</t>
  </si>
  <si>
    <t>OJEDA BUELVAS LUIS MARIO</t>
  </si>
  <si>
    <t>PADILLA BALMACEDA SAHIRA VALENTINA</t>
  </si>
  <si>
    <t xml:space="preserve">PASTRANA BENAVIDES JORDAN </t>
  </si>
  <si>
    <t>SEGOVIA MENDOZA VICTORIA DANIELA</t>
  </si>
  <si>
    <t>TAPIA FUENTES SANTIAGO JOSE</t>
  </si>
  <si>
    <t>TORRES CHARRY KEVIN DAVID</t>
  </si>
  <si>
    <t>TURIZO ROJAS LUIS CARLOS</t>
  </si>
  <si>
    <t>URUEÑA MATUTE EIDER JOSE</t>
  </si>
  <si>
    <t xml:space="preserve">ASIGNATURA: </t>
  </si>
  <si>
    <t>ASIGNATURA:</t>
  </si>
  <si>
    <t>AMAYA HERNANDEZ YULIMAR SOFIA</t>
  </si>
  <si>
    <t>BAÑOS CUERO SHEILYS DANIELA</t>
  </si>
  <si>
    <t>CARDENAS ZAMBRANO ANDRES FELIPE</t>
  </si>
  <si>
    <t xml:space="preserve">GONZALEZ PEREZ MARLEYDYS </t>
  </si>
  <si>
    <t>GONZALEZ SERRANO ANGELO SANTIAGO</t>
  </si>
  <si>
    <t>GONZALEZ TORRES NOE ANDRES</t>
  </si>
  <si>
    <t>PASTRAN PIÑA ABRAHAN DAVID</t>
  </si>
  <si>
    <t>RINCON ROJAS ORIANA VALERIA</t>
  </si>
  <si>
    <t>GOMEZ ALMENAREZ LUIS MIGUEL</t>
  </si>
  <si>
    <t>AVILA NORIEGA JEANCARLOS JOSE</t>
  </si>
  <si>
    <t>BELEÑO ROMERO DARIEN ERNEY</t>
  </si>
  <si>
    <t>BLANCO GARAVITO NATALIA SHAMMITH</t>
  </si>
  <si>
    <t>CABALLERO HENAO PEDRO ENRIQUE</t>
  </si>
  <si>
    <t>CARMONA QUINTERO AMBAR VIVIANA</t>
  </si>
  <si>
    <t>DAZA JIMENEZ JAIME RAFAEL</t>
  </si>
  <si>
    <t>DIAZ TURIZO TALIANA BELISA</t>
  </si>
  <si>
    <t>GELVES BARBOSA LUISA FERNANDA</t>
  </si>
  <si>
    <t>GUERRERO MATOS CIRLY YULIETH</t>
  </si>
  <si>
    <t>JAIMES MEJIA JOSUE DAVID</t>
  </si>
  <si>
    <t>MOLA ROJAS JAVIER DE JESUS</t>
  </si>
  <si>
    <t>PADILLA GARCIA JOSE JORGE</t>
  </si>
  <si>
    <t>BENAVIDES NIEVES LUIS SANTIAGO</t>
  </si>
  <si>
    <t>BUELVAS QUIROZ FRANKLYN STIVEN</t>
  </si>
  <si>
    <t>BUELVAS QUIROZ JUAN PABLO</t>
  </si>
  <si>
    <t>CANTILLO BOLIVAR DAYANA CAROLINA</t>
  </si>
  <si>
    <t>GONZALEZ VALENCIA FRAN SEGUNDO</t>
  </si>
  <si>
    <t>GUERRA CACERES YOSER ALVEIRO</t>
  </si>
  <si>
    <t>MARQUEZ NUÑEZ ARLIS MARIBEL</t>
  </si>
  <si>
    <t>MARRIAGA GOMEZ ROBERT EDUARDO</t>
  </si>
  <si>
    <t>MERCADO SOLANO LEANDRA CAMILA</t>
  </si>
  <si>
    <t>NAVARRO GARCIA YARIS MICHEL</t>
  </si>
  <si>
    <t>ORTIZ TIJARO YORMAN YAIR</t>
  </si>
  <si>
    <t xml:space="preserve">SUAREZ PUERTA EXNEIDER </t>
  </si>
  <si>
    <t xml:space="preserve">VICUÑA PINEDA IRIANNYS </t>
  </si>
  <si>
    <t>ARIAS ESCOBAR SHERY SARAY</t>
  </si>
  <si>
    <t>ALCENDRA BONETT KAROL SMIHT</t>
  </si>
  <si>
    <t>ARIZA DE AGUAS JAIR JOSE</t>
  </si>
  <si>
    <t>BARRERA CORONADO MARIA ALEJANDRA</t>
  </si>
  <si>
    <t>CHIRINOS SANCHEZ DEIMARYS YRISMAR</t>
  </si>
  <si>
    <t>COLINA GARAY ESMERALDA VALENTINA</t>
  </si>
  <si>
    <t>CONTRERAS YANCE JAZMIN DARIANA</t>
  </si>
  <si>
    <t>FIGUEROA BAYONA DEINNER JOSE</t>
  </si>
  <si>
    <t>GAITAN QUINTANA CLAIRETH DIVINA</t>
  </si>
  <si>
    <t>GUTIERREZ MARQUEZ ADIT LUZ</t>
  </si>
  <si>
    <t>MARMOL CHIQUILLO LAURY SOFIA</t>
  </si>
  <si>
    <t>MUÑOZ GUERRERO JUAN CAMILO</t>
  </si>
  <si>
    <t>NAVARRO AGAMEZ JEISON ANDRES</t>
  </si>
  <si>
    <t>NIETO PEREZ WILSON RAFAEL</t>
  </si>
  <si>
    <t>PALACIO ORTIZ MARIANIS DARINE</t>
  </si>
  <si>
    <t>PEDROZO PERTUZ ELIXA MARCELA</t>
  </si>
  <si>
    <t>ROCHA PACHECO VIANIS ESTEFANIS</t>
  </si>
  <si>
    <t>RODRIGUEZ NAVARRO MARIA JOSE</t>
  </si>
  <si>
    <t xml:space="preserve">RODRIGUEZ RANGEL RAYNER </t>
  </si>
  <si>
    <t>RODRIGUEZ SEÑAS LUIS DAVID</t>
  </si>
  <si>
    <t>SARMIENTO BANQUET MIGUEL ANDRES</t>
  </si>
  <si>
    <t>ARIAS BOLIVAR JOSE DAVID</t>
  </si>
  <si>
    <t>ARIZA ATENCIO SAMUEL DAVID</t>
  </si>
  <si>
    <t>BERDUGO VEGA MARIANA SOFIA</t>
  </si>
  <si>
    <t>BRICEÑO YANCE KRISTIAN FERNANDO</t>
  </si>
  <si>
    <t>CADAVID SANTIAGO ANDRES FELIPE</t>
  </si>
  <si>
    <t>CAMPO HERNANDEZ SARA SOFIA</t>
  </si>
  <si>
    <t>CAMPO MARTINEZ PEDRO LUIS</t>
  </si>
  <si>
    <t>CUJIA CABALLERO NAYMARA SOFIA</t>
  </si>
  <si>
    <t>FONSECA ROZZO BENYAMIN JESSID</t>
  </si>
  <si>
    <t>FRAGOZO DE LA PUENTE JOSE ANTONIO</t>
  </si>
  <si>
    <t>GARCIA JAIMES MATIAS ANDRES</t>
  </si>
  <si>
    <t xml:space="preserve">GOMEZ BERDUGO ISAMARY </t>
  </si>
  <si>
    <t>GONZALEZ GIL YINELKIS CAMILA</t>
  </si>
  <si>
    <t xml:space="preserve">GONZALEZ RIVERA NAIARA </t>
  </si>
  <si>
    <t>JIMENEZ CADENA JOSE LUIS</t>
  </si>
  <si>
    <t xml:space="preserve">JIMENEZ POLO YELITZA </t>
  </si>
  <si>
    <t xml:space="preserve">JUSTINICO MARTINEZ BRAYAN </t>
  </si>
  <si>
    <t>MARQUEZ HERNANDEZ CHARICH JIRECH</t>
  </si>
  <si>
    <t>MINDIOLA HERNANDEZ JESUS DANIEL</t>
  </si>
  <si>
    <t>MOLINA AMARIS JUAN SEBASTIAN</t>
  </si>
  <si>
    <t>MOLINA CASTILLA DANNA SOFIA</t>
  </si>
  <si>
    <t>MONTENEGRO VANEGAS BREINER JHOAN</t>
  </si>
  <si>
    <t>QUINTERO MERCADO LUIS SANTIAGO</t>
  </si>
  <si>
    <t>RINCON HERNANDEZ CRISTIAN DAVID</t>
  </si>
  <si>
    <t>TRILLO RUIZ YESMYTH TATIANA</t>
  </si>
  <si>
    <t>VILLEGAS REDONDO ESTEBAN JOSE</t>
  </si>
  <si>
    <t>YANCE MORALES IVAN DARIO</t>
  </si>
  <si>
    <t>BOTELLO VENERA ALDER FABIAN</t>
  </si>
  <si>
    <t>CASTRO RAMOS SEBASTIAN DAVID</t>
  </si>
  <si>
    <t>DE LA HOZ MANDON DANA VALENTINA</t>
  </si>
  <si>
    <t xml:space="preserve">ESCOBAR EPIEYU CLEIDERMAN </t>
  </si>
  <si>
    <t>GARCIA MENDOZA JUAN DAVID</t>
  </si>
  <si>
    <t>GARCIA MONTOYA ALLYN SOFIA</t>
  </si>
  <si>
    <t>GONZALEZ MELO YERALDIN PAOLA</t>
  </si>
  <si>
    <t>GUTIERREZ RODRIGUEZ LUNA ASLHEY</t>
  </si>
  <si>
    <t>HUERTAS ESPITIA JHOAN DAVID</t>
  </si>
  <si>
    <t>JARAMILLO MEJIA VALERY VALENTINA</t>
  </si>
  <si>
    <t>MATUTE AMARIS YOJAN ALBERTO</t>
  </si>
  <si>
    <t>MINDIOLA CACERES KATRI NALIETH</t>
  </si>
  <si>
    <t>MOLA ARRIETA YIRA LIDED</t>
  </si>
  <si>
    <t>MORALES SANGUINO JOHAN CAMILO</t>
  </si>
  <si>
    <t>MOSQUEDA GONZALEZ DREISMAR JOSUE</t>
  </si>
  <si>
    <t>OJEDA BUELVAS LEIDER ALFONSO</t>
  </si>
  <si>
    <t>OÑATE DIAZ DYLAN FRANCISCO</t>
  </si>
  <si>
    <t>OÑATE DIAZ THALYANA MICHELL</t>
  </si>
  <si>
    <t>ORTIZ ROPERO JAMES YUSUETH</t>
  </si>
  <si>
    <t>PEREZ FLORIAN SEBASTIAN DANIEL</t>
  </si>
  <si>
    <t>RODRIGUEZ ARIAS VICTOR DAMIAN</t>
  </si>
  <si>
    <t>RUA RODRIGUEZ YEIMAR ANDRES</t>
  </si>
  <si>
    <t>VILLERO SANCHEZ EDUARDO ANGEL</t>
  </si>
  <si>
    <t>YANCE CHONA YEIMIS YISEL</t>
  </si>
  <si>
    <t>ZUÑIGA TURIZO YARIS LENIS</t>
  </si>
  <si>
    <t>BALMACEDA PADILLA JESUS MANUEL</t>
  </si>
  <si>
    <t>BALMACEDA VIÑAS JAVIER DAVID</t>
  </si>
  <si>
    <t>CARDALES DOMINGUEZ SARITH CAMILA</t>
  </si>
  <si>
    <t>CASTRO MATUTE CARLOS ELIAS</t>
  </si>
  <si>
    <t>CUADRADO BASTO CRISTIAN DAVID</t>
  </si>
  <si>
    <t>ESCORCIA NAVARRO VALERIN SOFIA</t>
  </si>
  <si>
    <t>GARCIA TRILLOS KEYDER JHOAN</t>
  </si>
  <si>
    <t xml:space="preserve">GOMEZ PONTON EMMANUEL </t>
  </si>
  <si>
    <t>GONZALEZ MEZA BRILLIT CORAL</t>
  </si>
  <si>
    <t>MERIÑO RAMIREZ IVAN RENE</t>
  </si>
  <si>
    <t>MOYA GUTIERREZ KEILER DAVID</t>
  </si>
  <si>
    <t>OCHOA DIAZ SERGIO LUIS</t>
  </si>
  <si>
    <t>OÑATE LUQUEZ ANTHONY DAVID</t>
  </si>
  <si>
    <t xml:space="preserve">PELAEZ CHAVES SARIBETH </t>
  </si>
  <si>
    <t>PEREZ SEGOVIA JUAN CAMILO</t>
  </si>
  <si>
    <t>PERTUZ MORALES JHOAN ANDRES</t>
  </si>
  <si>
    <t>PIEDRAHITA CARMONA DANNA MICHELL</t>
  </si>
  <si>
    <t>RAMOS AYALA TIFANI ANDREA</t>
  </si>
  <si>
    <t>REGUILLO VIERA SARA SOFIA</t>
  </si>
  <si>
    <t>SAMPER BAYONA LINDA GABRIELA</t>
  </si>
  <si>
    <t>SOLANO HERNANDEZ ELDA SOFIA</t>
  </si>
  <si>
    <t>VIDES BELLO ISAI OMAR</t>
  </si>
  <si>
    <t>VILLA ORTEGA YADER JOSE</t>
  </si>
  <si>
    <t>JIMENEZ LOMBANA SANTIAGO DE JESUS</t>
  </si>
  <si>
    <t>RIOS VEGA JHOYVER DAVID</t>
  </si>
  <si>
    <t>MENGUAL EPÍEYU LINA MARCELA</t>
  </si>
  <si>
    <t>CONRADO CASTILLO KATHERIN PAOLA</t>
  </si>
  <si>
    <t>ESCANDON MARTINEZ CRISTIAN DAVID</t>
  </si>
  <si>
    <t>PEREZ NIEVES GENOVEL</t>
  </si>
  <si>
    <t>MURILLO AGUDELO LISMAR PAOLA</t>
  </si>
  <si>
    <t>CUELLO VILLAFAÑE MARIANA SOFIA</t>
  </si>
  <si>
    <t>DIAZ OSORIO JESUS DAVID</t>
  </si>
  <si>
    <t>GAVIRIA RAMOS CAMILA ANDREA</t>
  </si>
  <si>
    <t>LONDOÑO RAMOS ADRIAN CAMILO</t>
  </si>
  <si>
    <t>MARTINEZ IBARRA JUAN PABLO</t>
  </si>
  <si>
    <t>MENDOZA IMBRET LUCIANA CAROLINA</t>
  </si>
  <si>
    <t>PACHECO ARCEO ADRIANA PAOLA</t>
  </si>
  <si>
    <t>PEDROZO VILLEGAS MARIA CAMILA</t>
  </si>
  <si>
    <t>QUINTERO CHIRINOS NAIRISMAR ROSA</t>
  </si>
  <si>
    <t>RODRIGUEZ LOPEZ JESUS JAVIER</t>
  </si>
  <si>
    <t xml:space="preserve">RODRIGUEZ NAVARRO VERONICA </t>
  </si>
  <si>
    <t>GALEANO TORRADO LEONEL FELIPE</t>
  </si>
  <si>
    <t>GARCIA AVILA LUIS ANGEL</t>
  </si>
  <si>
    <t>PEREZ SERRANO LINEIDIS MARIA</t>
  </si>
  <si>
    <t>QUEVEDO BAYONA ANGEL DANIEL</t>
  </si>
  <si>
    <t>QUINTERO CASTRO ISABEL SOFIA</t>
  </si>
  <si>
    <t>RAMIREZ VEGA PAUL ALEXANDER</t>
  </si>
  <si>
    <t>RAMOS DIAZ SANDRA JULIETH</t>
  </si>
  <si>
    <t>VIDES CHARRY DILAN MIGUEL</t>
  </si>
  <si>
    <t>ARROYO ROJAS IVAN DAVID</t>
  </si>
  <si>
    <t>ATENCIA VILORIA ELYN PATRICIA</t>
  </si>
  <si>
    <t>CAMARGO SOLANO NICOLL ANDREA</t>
  </si>
  <si>
    <t>CARMONA SUAREZ JOSE SANTOS</t>
  </si>
  <si>
    <t>CARO AMARIS JESUS ADRIAN</t>
  </si>
  <si>
    <t>CARO LOPEZ JHON ALEX</t>
  </si>
  <si>
    <t>CARO ROCHA WENDY CAROLINA</t>
  </si>
  <si>
    <t xml:space="preserve">DE ANGEL UTRIA TALIANA </t>
  </si>
  <si>
    <t>ESTRADA RIOS KATERIN JULIETH</t>
  </si>
  <si>
    <t>GARCIA GAMARRA JOSE DAVID</t>
  </si>
  <si>
    <t>GUILLEN NIEVES JESUS ENRIQUE</t>
  </si>
  <si>
    <t>HERNANDEZ ANAYA EVELYN SARAY</t>
  </si>
  <si>
    <t>JARAMILLO MEJIA STEFANY JULIETH</t>
  </si>
  <si>
    <t>MOLA ROJAS JUAN SEBASTIAN</t>
  </si>
  <si>
    <t>MORA SOSA YEINER ANDRES</t>
  </si>
  <si>
    <t>MORALES GONZALEZ ANDRES GERMAN</t>
  </si>
  <si>
    <t xml:space="preserve">OSPINO ARRIETA VALENTINA </t>
  </si>
  <si>
    <t>ROJAS BATISTA NATHALIA MICHELL</t>
  </si>
  <si>
    <t>RUJANO TELLEZ ELLIN CAMILA</t>
  </si>
  <si>
    <t>SEGOVIA MENDOZA SHAROL DAYANA</t>
  </si>
  <si>
    <t>TEHERAN MIELES CRISTIAN DAVID</t>
  </si>
  <si>
    <t>TERAN BERMUDEZ MAJIN DAVID</t>
  </si>
  <si>
    <t>VIDES BELLO GENESIS DAILETH</t>
  </si>
  <si>
    <t>VILLAZON BALLESTA DARWIN JOSE</t>
  </si>
  <si>
    <t xml:space="preserve">BERRIO VILLADIEGO LEONELA </t>
  </si>
  <si>
    <t>CASTRO NAVARRO ANDRES CAMILO</t>
  </si>
  <si>
    <t>DAZA CACERES DARYS DANIELA</t>
  </si>
  <si>
    <t>ESCOBAR ARGUMEDO MIGUEL EDUARDO</t>
  </si>
  <si>
    <t>GONZALEZ VALENCIA ANDRY JOSE</t>
  </si>
  <si>
    <t>GUERRERO HERRERA RICHARD DAVID</t>
  </si>
  <si>
    <t>JIMENEZ SEGOVIA ROBERT JAVIER</t>
  </si>
  <si>
    <t>LARIOS MOLINA SAMUEL DAVID</t>
  </si>
  <si>
    <t>LARIOS RIOS KEIDYS LORENA</t>
  </si>
  <si>
    <t>MAESTRE GUERRERO LUIS JOSE</t>
  </si>
  <si>
    <t>MARQUEZ GONZALEZ DAIRIS MICHELL</t>
  </si>
  <si>
    <t>MARTINEZ FRANCO KAROL JULIANA</t>
  </si>
  <si>
    <t>MARTINEZ LOPEZ KAREN YULIETH</t>
  </si>
  <si>
    <t>MARTINEZ PATERNINA CARLOS DANIEL</t>
  </si>
  <si>
    <t>MOLERO GONZALEZ NEYERLIN CAROLINA</t>
  </si>
  <si>
    <t>NUÑEZ VEGA CAMILA ANDREA</t>
  </si>
  <si>
    <t>OCHOA ROSADO MARIA ANGEL</t>
  </si>
  <si>
    <t>PEREZ VILLARREAL KATERIN SHAIRET</t>
  </si>
  <si>
    <t>RETAVISCA VEGA YULIETH ALEJANDRA</t>
  </si>
  <si>
    <t>RICO ARRIETA YESSICA YULIETH</t>
  </si>
  <si>
    <t>RODRIGUEZ BALMACEDA LUIS SANTIAGO</t>
  </si>
  <si>
    <t>RODRIGUEZ MIRANDA LUNA VALENTINA</t>
  </si>
  <si>
    <t>RUA MENESES MAROLIN YICED</t>
  </si>
  <si>
    <t>SANCHEZ ARAQUE KLEYNNER YAIR</t>
  </si>
  <si>
    <t>ACOSTA GARCIA JULIO CESAR</t>
  </si>
  <si>
    <t>BLANCO CASTILLO ANDRES DAVID</t>
  </si>
  <si>
    <t>BOLAÑO ARIAS VALERIA VALENTINA</t>
  </si>
  <si>
    <t>CAMARGO CARRILLO EINIS SOFIA</t>
  </si>
  <si>
    <t>CAMPO MARTINEZ RAFAEL ANDRES</t>
  </si>
  <si>
    <t>CARDENAS DIAZ JUAN CARLOS</t>
  </si>
  <si>
    <t>CASTRO CUELLO CRISTINA ISABEL</t>
  </si>
  <si>
    <t>ESCORCIA MARTINEZ KENDRY MICHELE</t>
  </si>
  <si>
    <t>GAMEZ ARIAS RANTY JAVIER</t>
  </si>
  <si>
    <t>GOMEZ NARVAEZ LUIS ANGEL</t>
  </si>
  <si>
    <t>GUARIN NAVAS GREIS PATRICIA</t>
  </si>
  <si>
    <t>GUERRERO FLOREZ LUCIA TERESA</t>
  </si>
  <si>
    <t>HERRERA GIRALDO CHELSY VANESSA</t>
  </si>
  <si>
    <t>JIMENEZ TORRES SEBASTIAN ANDRES</t>
  </si>
  <si>
    <t>LARA MARTINEZ OMAR ENRIQUE</t>
  </si>
  <si>
    <t>MANJARREZ URIBE SANDRITH LORENA</t>
  </si>
  <si>
    <t>MOLINA BALLESTAS TAILETH MARIANA</t>
  </si>
  <si>
    <t>MORENO CHARRIS LISETH CAROLINA</t>
  </si>
  <si>
    <t>PAHUANA BELTRAN NATALIA MICHELL</t>
  </si>
  <si>
    <t>ROCHA SARMIENTO CARLOS ALEJANDRO</t>
  </si>
  <si>
    <t xml:space="preserve">RODRIGUEZ FRAGOZO VALENTINA </t>
  </si>
  <si>
    <t xml:space="preserve">RODRIGUEZ RUIZ WILIAN </t>
  </si>
  <si>
    <t>SALAS ROCHA ESTEBAN ANDRES</t>
  </si>
  <si>
    <t>TRILLO RUIZ JANNYS THALYANA</t>
  </si>
  <si>
    <t>TRILLO RUIZ JANUARY THALLYA</t>
  </si>
  <si>
    <t>VASQUEZ YANCE LEANDRO JOSE</t>
  </si>
  <si>
    <t>VELASQUEZ TORRADO JHOJANLY SOFIA</t>
  </si>
  <si>
    <t>VERDECIA BONETT MARIA ANGEL</t>
  </si>
  <si>
    <t>BAQUERO GUTIERREZ MARIA JOSE</t>
  </si>
  <si>
    <t>BAYONA PINO SHARLEY NICOLL</t>
  </si>
  <si>
    <t>CANTILLO MEJIA JIMENA CAROLINA</t>
  </si>
  <si>
    <t>CARDONA GARCIA ANGEL DAVID</t>
  </si>
  <si>
    <t>CARDONA GARCIA KAROL SOFIA</t>
  </si>
  <si>
    <t>DE ANGEL CUELLO JHORMINSON YESID</t>
  </si>
  <si>
    <t xml:space="preserve">DE ORO FERREIRA CESIA </t>
  </si>
  <si>
    <t xml:space="preserve">FARELO MARTINEZ GIOVANNYS </t>
  </si>
  <si>
    <t>GONZALEZ CACERES LUIS MATEO</t>
  </si>
  <si>
    <t xml:space="preserve">GUILLEN BELEÑO KARELLIS </t>
  </si>
  <si>
    <t>GUZMAN ROCO KAROL YULIANA</t>
  </si>
  <si>
    <t>MONTENEGRO VANEGAS JESUS MANUEL</t>
  </si>
  <si>
    <t>MONTES BOLAÑO JUAN PABLO</t>
  </si>
  <si>
    <t>OJEDA CONRADO ROBER ANTONIO</t>
  </si>
  <si>
    <t>ORJUELA MONTENEGRO EDISON JOSE</t>
  </si>
  <si>
    <t>OROZCO FONTALVO MATTYUS ENRIQUE</t>
  </si>
  <si>
    <t>PALOMINO PEREZ YEREMI YESID</t>
  </si>
  <si>
    <t>POLO DE LEON JHON KLEINER</t>
  </si>
  <si>
    <t>QUIROZ NAVARRO AILEEN SOFIA</t>
  </si>
  <si>
    <t>ROBLES MIRANDA DANNA SOFIA</t>
  </si>
  <si>
    <t>RODRIGUEZ ROCHA YURANIS ANDREA</t>
  </si>
  <si>
    <t>SANTIAGO RAMOS SHARIT NICOL</t>
  </si>
  <si>
    <t>TABORDA OSPINO ERICK FABIAN</t>
  </si>
  <si>
    <t>URANGO VENCE MARCOS JAVIER</t>
  </si>
  <si>
    <t>USTARIZ LEAL YOIMAR JAFET</t>
  </si>
  <si>
    <t>VIDES PEÑALOZA DEIVIS JHOJANES</t>
  </si>
  <si>
    <t>BAUTE AMARIZ DANNA SOFIA</t>
  </si>
  <si>
    <t>VILORIA MERIÑO SHARAY LINETH</t>
  </si>
  <si>
    <t>JIMENEZ PEREZ KLEITTIN ASHELIN</t>
  </si>
  <si>
    <t xml:space="preserve">QUINTERO CASTRO JOHANNA </t>
  </si>
  <si>
    <t xml:space="preserve">ZULETA SARABIA LILIMAR </t>
  </si>
  <si>
    <t>BOCANEGRA ESCORCIA JUAN DAVID</t>
  </si>
  <si>
    <t>VILLANUEVA JIMENEZ NICOLLE DAYANA</t>
  </si>
  <si>
    <t>CURSO: 9.04</t>
  </si>
  <si>
    <t>TORDECILLA SANCHEZ EILEN SOFIA</t>
  </si>
  <si>
    <t>MOSQUERA RODRIGUEZ YESIRETH PAOLA</t>
  </si>
  <si>
    <t>NIEVES RODRIGUEZ CESAR DAVID</t>
  </si>
  <si>
    <t>CRUZ MONTERO HEIDY CAMILA</t>
  </si>
  <si>
    <t>LOPEZ PORRAS ZHARITH LICETH</t>
  </si>
  <si>
    <t>SIMANCA ALTAMAR DALLANA MICHELL</t>
  </si>
  <si>
    <t>FUENTES CASTELLAR ANDRES JOSE</t>
  </si>
  <si>
    <t>SIMANCA ALTAMAR JHAN CARLOS</t>
  </si>
  <si>
    <t>ACOSTA RUIZ CIRO LEIRU</t>
  </si>
  <si>
    <t>ALQUERQUE MONTERO JAROL DAVID</t>
  </si>
  <si>
    <t>ARAUJO MORENO LUIS ADRIAN</t>
  </si>
  <si>
    <t xml:space="preserve">AVILA VILLEGAS MAYLER </t>
  </si>
  <si>
    <t>BENJUMEA ALVARADO MATIAS DANIEL</t>
  </si>
  <si>
    <t xml:space="preserve">BERMUDEZ ROLON SALOME </t>
  </si>
  <si>
    <t>BLANCO MARTINEZ THADIA CELESTE</t>
  </si>
  <si>
    <t>BLANCO TORRES MILLER ISAAC</t>
  </si>
  <si>
    <t>BOLAÑOS OVALLE VALERY DARIANIS</t>
  </si>
  <si>
    <t>CASTRO GALEANO GABRIEL STEVAN</t>
  </si>
  <si>
    <t>CASTRO GARAY STEPHANY SOFIA</t>
  </si>
  <si>
    <t>CENTENO RODRIGUEZ SANDRA MICHEL</t>
  </si>
  <si>
    <t>FERNANDEZ VILLA ALIETH JOSUE</t>
  </si>
  <si>
    <t>GARCIA BALMACEDA ZAENZ JAVIER</t>
  </si>
  <si>
    <t>GARCIA BARRAZA YEINER MANUEL</t>
  </si>
  <si>
    <t>GIRALDO SEGOVIA RAFAEL MATEO</t>
  </si>
  <si>
    <t>GONZALEZ QUINTERO SHARITH MICHELL</t>
  </si>
  <si>
    <t>GRANADOS MARTINEZ LOWENDIS CAROLINA</t>
  </si>
  <si>
    <t>HURTADO SIERRA JAIDER MIGUEL</t>
  </si>
  <si>
    <t xml:space="preserve">JAIMES SIMONDS JAHAZIEL </t>
  </si>
  <si>
    <t>JIMENEZ DIAZ JUAN DAVID</t>
  </si>
  <si>
    <t>LOPEZ CAMACHO THALIANA MICHELL</t>
  </si>
  <si>
    <t>MANDANIEL PABON DILAN ANDRES</t>
  </si>
  <si>
    <t>MARTINEZ VILLAREAL LIHAN JESUS</t>
  </si>
  <si>
    <t>MONTERO GOMEZ DEIVIS JOSE</t>
  </si>
  <si>
    <t>MONTESINO VERGARA MIGUEL EXMIT</t>
  </si>
  <si>
    <t>MOTA BARRERA YOSHUA ANTONIO</t>
  </si>
  <si>
    <t>NARVAEZ MEJIA YELISETH ZOE</t>
  </si>
  <si>
    <t xml:space="preserve">NIÑO CONTRERAS SAMUEL </t>
  </si>
  <si>
    <t>NUÑEZ MONTERO GENESIS PATRICIA</t>
  </si>
  <si>
    <t>PACHECO CARPIO ROSA MARIA</t>
  </si>
  <si>
    <t>PARRA TORRES ANGEL ANDRES</t>
  </si>
  <si>
    <t>PERALTA BARRAZA MARIA ISABEL</t>
  </si>
  <si>
    <t>POLO PRADO ANGIE DAYANA</t>
  </si>
  <si>
    <t>RODRIGUEZ ARIAS NATHALYS JENITH</t>
  </si>
  <si>
    <t xml:space="preserve">RODRIGUEZ FRAGOZO ISAAC </t>
  </si>
  <si>
    <t>RUA RODRIGUEZ YEINER JANED</t>
  </si>
  <si>
    <t>SIERRA ERAZO MARIA SALOME</t>
  </si>
  <si>
    <t>TERAN ARIAS SAMUEL ANDRES</t>
  </si>
  <si>
    <t>ARIAS MEJIA JOHENYS MARCELA</t>
  </si>
  <si>
    <t>ARIAS ZAPATA ANDREA CAMILA</t>
  </si>
  <si>
    <t>ARRIETA FONTALVO LUIYANA VANESA</t>
  </si>
  <si>
    <t>BECERRA ACEVEDO MICHELL JHOANA</t>
  </si>
  <si>
    <t>BECERRA VITOLA BRIGXI BRILLITH</t>
  </si>
  <si>
    <t xml:space="preserve">BECERRA YEPEZ AIRLETH </t>
  </si>
  <si>
    <t>BENJUMEA NEGRETE KAROLINA ISABEL</t>
  </si>
  <si>
    <t>BERMUDEZ SIMONDS JUAN DAVID</t>
  </si>
  <si>
    <t>BERRIO JIMENEZ JESUS MANUEL</t>
  </si>
  <si>
    <t>CABARCAS GONZALEZ VALERY SOFIA</t>
  </si>
  <si>
    <t>CACERES ORTEGA BREIDYS MICHELL</t>
  </si>
  <si>
    <t>CARO RUA SERGIO LUIS</t>
  </si>
  <si>
    <t>CASTRO HERNANDEZ KRISBEL ANDREINA</t>
  </si>
  <si>
    <t>DITA DACONTE SEBASTIAN ANDRES</t>
  </si>
  <si>
    <t>DORIA MONTENEGRO KALETH DAVID</t>
  </si>
  <si>
    <t xml:space="preserve">DURAN RODRIGUEZ JALENA </t>
  </si>
  <si>
    <t>FIGUEROA BAYONA DANIEL JOSE</t>
  </si>
  <si>
    <t>FIGUEROA RODRIGUEZ DANIELA SOFIA</t>
  </si>
  <si>
    <t>GAMBOA VARELA ANYELITH YURANIS</t>
  </si>
  <si>
    <t>GARCIA SALCEDO MATIAS DAVID</t>
  </si>
  <si>
    <t>HERNANDEZ BLANCO ISAC DAVID</t>
  </si>
  <si>
    <t>HERRERA GONZALEZ JULIO CESAR</t>
  </si>
  <si>
    <t>JAIMES VARGAS JORGE ELIECER</t>
  </si>
  <si>
    <t>JULIO JULIO OSNAIDER ANDRES</t>
  </si>
  <si>
    <t>LEON CUEVAS MAIKOL JESUS</t>
  </si>
  <si>
    <t>LOPEZ ASCANIO JESUS DANIEL</t>
  </si>
  <si>
    <t>LOPEZ CABRERA MAIKOLL ANDRES</t>
  </si>
  <si>
    <t>LOPEZ VASQUEZ DEISY LILIANA</t>
  </si>
  <si>
    <t>MAHECHA SALCEDO ANDREA CAROLINA</t>
  </si>
  <si>
    <t>MARQUEZ GONZALEZ SEBASTIAN ANDRES</t>
  </si>
  <si>
    <t>MARTINEZ MORENO ALEXANDER DAVID</t>
  </si>
  <si>
    <t>MARTINEZ PALENCIA VANESSA YINEY</t>
  </si>
  <si>
    <t>MEJIA CALDERON SHERIL DAYANA</t>
  </si>
  <si>
    <t>MIRANDA AROCA MARTHA MARIA</t>
  </si>
  <si>
    <t>MOLINA ACOSTA MICHELL DAYANA</t>
  </si>
  <si>
    <t>CRUZ FLORES ANTONI LEOMAR</t>
  </si>
  <si>
    <t>GUARIN NAVAS ANGELA MICHELL</t>
  </si>
  <si>
    <t>MOLINA CASTILLO OLAYDIS LILIANA</t>
  </si>
  <si>
    <t>MORA CERA SOFIA VALENTINA</t>
  </si>
  <si>
    <t>NIEVES BAYONA SARA DANIELA</t>
  </si>
  <si>
    <t>ORTEGA MARTINEZ CAMILO ANDRES</t>
  </si>
  <si>
    <t>PACHECO MAESTRE CRISTIAN GABRIEL</t>
  </si>
  <si>
    <t>PADILLA VILORIA JURENIS JUDITH</t>
  </si>
  <si>
    <t>PEDRAZA MUÑOZ MELANY PAOLA</t>
  </si>
  <si>
    <t>PORTO CANTILLO SIOMAR ENRIQUE</t>
  </si>
  <si>
    <t>QUINTERO QUINTERO JESUS MIGUEL</t>
  </si>
  <si>
    <t>RAMIREZ LUQUEZ SHARLETH NIKOOL</t>
  </si>
  <si>
    <t>RIVERA MOLINA CAMILA ANDREA</t>
  </si>
  <si>
    <t>RODRIGUEZ MOYA NAISIRIS MARIAM</t>
  </si>
  <si>
    <t>RUIZ VILLARREAL EVELIN ROSSE</t>
  </si>
  <si>
    <t>SALAS CHINCHILLA LUIS FERNANDO</t>
  </si>
  <si>
    <t>SALAS ROCHA SHAROL DAYANA</t>
  </si>
  <si>
    <t>SALCEDO PEREZ ANTONY MANUEL</t>
  </si>
  <si>
    <t>SARMIENTO LEAL SHARITH NICOLL</t>
  </si>
  <si>
    <t>SUAREZ MONTAÑO MARIA JOSE</t>
  </si>
  <si>
    <t>TORRES VILORIA ALEXANDRA MISHELL</t>
  </si>
  <si>
    <t>VARELA LOPEZ SHARITH SOFIA</t>
  </si>
  <si>
    <t xml:space="preserve">VENERA CARDENAS MELANY </t>
  </si>
  <si>
    <t>ABREU LOPEZ ELEINIS SOFIA</t>
  </si>
  <si>
    <t>AROCA MAHECHA HERLIN DAVID</t>
  </si>
  <si>
    <t>ARRIETA JIMENEZ NURIETH SOFIA</t>
  </si>
  <si>
    <t>AVILA NORIEGA JUAN CARLOS</t>
  </si>
  <si>
    <t>BOLIVAR PEREZ ALEJANDRO DAVID</t>
  </si>
  <si>
    <t>DAZA SIERRA JORGE LUIS</t>
  </si>
  <si>
    <t>ESCOBAR ARGUMEDO MELANIE SOFIA</t>
  </si>
  <si>
    <t>FLORES PABON ALEJANDRA MICHEL</t>
  </si>
  <si>
    <t>GAMEZ FERRER ANDRES FELIPE</t>
  </si>
  <si>
    <t>GARCIA DE ARMAS CHAIRETH PAOLA</t>
  </si>
  <si>
    <t>GIRON PEREIRA JUAN DAVID</t>
  </si>
  <si>
    <t>GONZALEZ FUENMAYOR JOSE ALBERTO</t>
  </si>
  <si>
    <t>GUERRA LOBO JUAN JOSE</t>
  </si>
  <si>
    <t>GUTIERREZ MARTINEZ EMELLY SOFIA</t>
  </si>
  <si>
    <t>HENRIQUEZ DOMINGUEZ KLEIDER SMIT</t>
  </si>
  <si>
    <t>HERRERA SANTOS JHON JADER</t>
  </si>
  <si>
    <t>IGUARAN CANTILLO ROBERT JOSE</t>
  </si>
  <si>
    <t>LUZARDO CASTILLO KENDRA ALEJANDRA</t>
  </si>
  <si>
    <t>MARRIAGA RODRIGUEZ ELANIS CAROLINA</t>
  </si>
  <si>
    <t>MARTINEZ AGUILAR JUNIOR ARTURO</t>
  </si>
  <si>
    <t xml:space="preserve">MARTINEZ ATENCIA MAYCOL </t>
  </si>
  <si>
    <t xml:space="preserve">MARTINEZ CARREÑO SEBASTIAN </t>
  </si>
  <si>
    <t>MONTERO YEPES RICARDO ANDRES</t>
  </si>
  <si>
    <t>MONTERROSA NAVARRO ORIANA SOFIA</t>
  </si>
  <si>
    <t>MORA SERRANO GINA MARCELA</t>
  </si>
  <si>
    <t xml:space="preserve">MORALES MANGA ISAIAS </t>
  </si>
  <si>
    <t>MUÑOZ JIMENEZ JHOAN ANDRES</t>
  </si>
  <si>
    <t>NAVARRO BENAVIDES JESUS DAVID</t>
  </si>
  <si>
    <t>PAEZ RAMOS ADRIANA LUCIA</t>
  </si>
  <si>
    <t>BELENO NIETO IVANA CAROLINA</t>
  </si>
  <si>
    <t>BLANCO VILLALBA JESUS ADRIAN</t>
  </si>
  <si>
    <t>BUELVAS BUSTOS JARIANA MARIA</t>
  </si>
  <si>
    <t>CARDENAS MANOSALVA GERALDIN</t>
  </si>
  <si>
    <t>DIAZ PEREZ OLIVER DE JESUS</t>
  </si>
  <si>
    <t>GUTIERREZ JIMENEZ MARIA ISABELLA</t>
  </si>
  <si>
    <t>HERAZO LUNA JESUS DAVID</t>
  </si>
  <si>
    <t>MARTINEZ PEREZ CAROL MICHEL</t>
  </si>
  <si>
    <t>MORENO AVILA MICHEL PAOLA</t>
  </si>
  <si>
    <t>NAVARRO VENCE LINDA MICHELLE</t>
  </si>
  <si>
    <t>NUÑEZ ALMANZA NATALY ANDREA</t>
  </si>
  <si>
    <t>PAVA GOMEZ CRISTIAN ANDRES</t>
  </si>
  <si>
    <t>PEDROZO VILLEGAS MIGUEL ANTONIO</t>
  </si>
  <si>
    <t xml:space="preserve">RAMOS PAEZ ISABELLA </t>
  </si>
  <si>
    <t>RINCON HERNANDEZ JESUS ARMANDO</t>
  </si>
  <si>
    <t>ROCHA LARIOS WENDY JHOANA</t>
  </si>
  <si>
    <t>ROMERO MANCILLA EYLIN DAYANA</t>
  </si>
  <si>
    <t>SIERRA PUERTA SARA MICHELL</t>
  </si>
  <si>
    <t>VALBUENA BAQUERO ARMANDO LUIS</t>
  </si>
  <si>
    <t>VALENCIA MOSCOTE ANDREA CAROLINA</t>
  </si>
  <si>
    <t>VASQUEZ GERBIS GREYDER RAFAEL</t>
  </si>
  <si>
    <t xml:space="preserve">BECERRA MADRID BRISBANIS </t>
  </si>
  <si>
    <t>BELEÑO PARRA TALIANA</t>
  </si>
  <si>
    <t>BOCANEGRA ESCORCIA JHIRETH SOFIA</t>
  </si>
  <si>
    <t>CASTILLO GONZALEZ SANTIAGO</t>
  </si>
  <si>
    <t>CHACON PEÑALOZA JUAN SEBASTIAN</t>
  </si>
  <si>
    <t>DE SERRA ACOSTA OSNEIDER DAVID</t>
  </si>
  <si>
    <t xml:space="preserve">DIAZ MEDINA WHITNEY </t>
  </si>
  <si>
    <t>DIAZ ORTIZ JUAN MIGUEL</t>
  </si>
  <si>
    <t>GUARIN MENDOZA ROXALY</t>
  </si>
  <si>
    <t>GUERRERO VEGA DAMIAN DAVID</t>
  </si>
  <si>
    <t>LAGUNA MENESES JOSUE</t>
  </si>
  <si>
    <t>MARTINEZ PACHECO NOREIDA MARCELA</t>
  </si>
  <si>
    <t>MEJIA MEZA JOSE DANIEL</t>
  </si>
  <si>
    <t>ORTIZ PEÑA SHAIRA MILENA</t>
  </si>
  <si>
    <t>PEREIRA GARCIA JUAN DAVID</t>
  </si>
  <si>
    <t>SARMIENTO HERNANDEZ KEITY PAOLA</t>
  </si>
  <si>
    <t xml:space="preserve">SAURITH SALAS ANALIA </t>
  </si>
  <si>
    <t>VILLAMIZAR GAMEZ JAIR ESTEBAN</t>
  </si>
  <si>
    <t xml:space="preserve">ZARATE SARMIENTO ELIANETH </t>
  </si>
  <si>
    <t>BARRIOS MUÑOZ MIGUEL ANGEL</t>
  </si>
  <si>
    <t>BERMUDEZ SUAREZ LINDA NAIBIS</t>
  </si>
  <si>
    <t>BRITTO VERGARA JEYSER JOSE</t>
  </si>
  <si>
    <t>BULLONES RIVERO SHAIRA CRISTINA</t>
  </si>
  <si>
    <t>CANTILLO CARDENAS CRISTINA ISABEL</t>
  </si>
  <si>
    <t>CASTILLO GARCIA VALERY RICHELLE</t>
  </si>
  <si>
    <t>CERVANTES DE LA HOZ LAUREN PAOLA</t>
  </si>
  <si>
    <t>CHIQUILLO MONTAÑO ANDRES FELIPE</t>
  </si>
  <si>
    <t>CONTRERAS TORRES EVELYN YULIETH</t>
  </si>
  <si>
    <t>FERREIRA VILORIA SEBASTIAN JOSE</t>
  </si>
  <si>
    <t>GUTIERREZ DE LA CRUZ MARIA ALEJANDRA</t>
  </si>
  <si>
    <t>HERNANDEZ CASTRO WENDY JOHANA</t>
  </si>
  <si>
    <t>LOZANO  LOPEZ LUIS MIGUEL</t>
  </si>
  <si>
    <t>MANOTA MERCADO FELIX ESTEBAN</t>
  </si>
  <si>
    <t>MIRANDA DAZA EMANUEL JOSE</t>
  </si>
  <si>
    <t>MORALES ALFARO DANA ISABEL</t>
  </si>
  <si>
    <t>MOSCOTE AVILA KAREN MAILETH</t>
  </si>
  <si>
    <t>MOSQUERA RIVERO MARIO MIGUEL</t>
  </si>
  <si>
    <t>OVIDEO GARCIA ADANZA SARAY</t>
  </si>
  <si>
    <t>POLO GAMBOA DANIEL ESTEBAN</t>
  </si>
  <si>
    <t>POLO OSPINO SHARILYN LUCIA</t>
  </si>
  <si>
    <t>RAMIREZ RAT JESUS DANIEL</t>
  </si>
  <si>
    <t>RODRIGUEZ GAVIRIA JUAN DAVID</t>
  </si>
  <si>
    <t>RODRIGUEZ PALMERA HIDAN ANDRES</t>
  </si>
  <si>
    <t>SANCHEZ EPIAYU YELENKA GRECHEV</t>
  </si>
  <si>
    <t xml:space="preserve">SANTOS OROZCO EMANUEL </t>
  </si>
  <si>
    <t>SIERRA LICONA ANDRIS MICHEL</t>
  </si>
  <si>
    <t>SILVA POVEA ALMARYS MARIA</t>
  </si>
  <si>
    <t>TERAN NUÑEZ MAJIN ENRIQUE</t>
  </si>
  <si>
    <t>TORREALBA QUERO JANPIER ERNESTO</t>
  </si>
  <si>
    <t xml:space="preserve">TORRES OSPINO VALERY </t>
  </si>
  <si>
    <t>DAZA JIMENEZ WENDY MICHEL</t>
  </si>
  <si>
    <t>LOPEZ GALVIS JUVER CAMILO</t>
  </si>
  <si>
    <t>MARQUEZ CUEVA LISETH CAROLINA</t>
  </si>
  <si>
    <t>PEREZ MORENO ESTEBAN ANDRES</t>
  </si>
  <si>
    <t>RUA NUÑEZ NATALIA MICHELL</t>
  </si>
  <si>
    <t>DELA HOZ CERVANTES ELIANIS JOSE</t>
  </si>
  <si>
    <t>GUEVARA QUINTERO KAROLAYS VALENTINAM</t>
  </si>
  <si>
    <t xml:space="preserve">MENDOZA IZQUIERDO BRITANIS </t>
  </si>
  <si>
    <t xml:space="preserve">NEGRETE BAYONA DAIRO DAVID   </t>
  </si>
  <si>
    <t>PIÑERES BARROS JIRETH PATRICIA</t>
  </si>
  <si>
    <t>RAMIREZ RIVERA YIRETH SOFIA</t>
  </si>
  <si>
    <t>TORREGROZA LOPEZ EYLIN GUADALUPE</t>
  </si>
  <si>
    <t xml:space="preserve">ZUÑIGA MEJIA SANTIAGO LUIS   </t>
  </si>
  <si>
    <t xml:space="preserve">MENDOZA MIELES JUAN PABLO   </t>
  </si>
  <si>
    <t xml:space="preserve">MONTOYA IGUARAN XIMENA </t>
  </si>
  <si>
    <t>NAVARRO CAMARGO FEDERLYN ALEJAND</t>
  </si>
  <si>
    <t>OSPINO HERNANDEZ DEIVER MIGUEL</t>
  </si>
  <si>
    <t>RAMIREZ RIVERA EVANGGELIN MARIA</t>
  </si>
  <si>
    <t>SERRANO CONTRERAS LEYMAR STED</t>
  </si>
  <si>
    <t>VILLAMIZAR VILLALOBOS DEINER ALEJAN</t>
  </si>
  <si>
    <t>ALVAREZ VILORIA DANYELISMAR MICHELL</t>
  </si>
  <si>
    <t xml:space="preserve">DIAZ PEREZ PEDRO JOSE   </t>
  </si>
  <si>
    <t>RODRIGUEZ GAVIRIA NEIVYS JHOANA</t>
  </si>
  <si>
    <t>VARGAS ZAPATA SAMUEL DAVID</t>
  </si>
  <si>
    <t>VILLEGAS JAJOY DANNA SOFIA</t>
  </si>
  <si>
    <t>CARMONA GUERRERO LAURY DANIELA</t>
  </si>
  <si>
    <t xml:space="preserve">CARO MANDUANO YULIANA   </t>
  </si>
  <si>
    <t>GOMEZ ALMENARES LUIS MIGUEL</t>
  </si>
  <si>
    <t>JAIMES MARTINEZ SHAIRA ROSA</t>
  </si>
  <si>
    <t xml:space="preserve">MARMOLEJO GONZALEZ ALEXANDRA </t>
  </si>
  <si>
    <t>ACUÑA TEHERAN DEIVER SMITH</t>
  </si>
  <si>
    <t xml:space="preserve">BARRERA SURMAI LUIS SANTIAGO   </t>
  </si>
  <si>
    <t>DONADO GUTIERREZ SARAY ALEJANDRA</t>
  </si>
  <si>
    <t xml:space="preserve">FUENTES PINTO SANDRA MILENA   </t>
  </si>
  <si>
    <t>GUARIN MENDOZA LAURA CAMILA</t>
  </si>
  <si>
    <t>MEDINA ADRIANZA ADRIAN DE JESUS</t>
  </si>
  <si>
    <t>MENDOZA MENESES DANNA ISABEL</t>
  </si>
  <si>
    <t>CURSO: 7.06</t>
  </si>
  <si>
    <t>CONTRERAS ANGARITA SAIRA SOFIA</t>
  </si>
  <si>
    <t>GARCIA ROSADO SHAIRA YASITH</t>
  </si>
  <si>
    <t xml:space="preserve">JACOME VERA YIRETH SARAY   </t>
  </si>
  <si>
    <t>JIMENEZ VERBEL MARYURIS</t>
  </si>
  <si>
    <t>MOSQUERA RODRIGUEZ YAIRETH YICEEL</t>
  </si>
  <si>
    <t>MARQUEZ VILLALOBOS DAVID ALEJANDRO</t>
  </si>
  <si>
    <t>MORALES VASQUEZ NICOLL SABRINA</t>
  </si>
  <si>
    <t xml:space="preserve">PERALTA  CRESPO  SOL ANGEL </t>
  </si>
  <si>
    <t>ROJAS  RODRIGUEZ EILYN JISELL</t>
  </si>
  <si>
    <t>SALAS EBRAT THALIANA PAOLA</t>
  </si>
  <si>
    <t xml:space="preserve">BOLAÑO TORRES SANTIAGO </t>
  </si>
  <si>
    <t>BUELVAS ARIAS ANGELICA SOFIA</t>
  </si>
  <si>
    <t>CORZO ARENAS JAIME DARIO</t>
  </si>
  <si>
    <t>DE ORO CANTILLO OSNAYDER JOSE</t>
  </si>
  <si>
    <t>ECHEVARRIA ORTIZ FREIDYN DE JESUS</t>
  </si>
  <si>
    <t xml:space="preserve">FUENTES BERMUDEZ YANELIS   </t>
  </si>
  <si>
    <t>MARTINEZ MARTINEZ CARMEN INES</t>
  </si>
  <si>
    <t>MARTINEZ NUÑEZ LUIS STIBEN</t>
  </si>
  <si>
    <t>MOLINA HERNANDEZ SARAY ESTHER</t>
  </si>
  <si>
    <t xml:space="preserve">PARRA PEREZ SANTIAGO </t>
  </si>
  <si>
    <t xml:space="preserve">BECERRA MADRID NORVEY   </t>
  </si>
  <si>
    <t xml:space="preserve">BROCHERO SARMIENTO JAIDER JOSE   </t>
  </si>
  <si>
    <t>GUERRERO CHARRIS SARAY MICHEL</t>
  </si>
  <si>
    <t xml:space="preserve">MIRANDA GIRALDO ANDRES FELIPE   </t>
  </si>
  <si>
    <t>PORTILLO MIRANDA MICHELLE ALEJAND</t>
  </si>
  <si>
    <t xml:space="preserve">BLANCO VILLALBA EDUAR DAVID   </t>
  </si>
  <si>
    <t xml:space="preserve">CRUZ JIMENEZ JESUS SANTIAGO   </t>
  </si>
  <si>
    <t>OSPINO DANGOND MARIANGEL</t>
  </si>
  <si>
    <t>RIVERA ARIAS LINA MICHEL</t>
  </si>
  <si>
    <t>SIMANCA GAMBOA SHARITH YORLANIS</t>
  </si>
  <si>
    <t>HERNANDEZ HERNANDEZ REBECA DE LOS ANG</t>
  </si>
  <si>
    <t>BELTRAN BARRERA DANNA SOFIA</t>
  </si>
  <si>
    <t>CHIRINOS SANCHEZ YOSNEIDER ALEXAND</t>
  </si>
  <si>
    <t>FUENTES CASTELLAR MAURET MARIA</t>
  </si>
  <si>
    <t>GONZALEZ ALVEAR THALIANA MISELL</t>
  </si>
  <si>
    <t>MANJARRES URIBE SARA SOFIA</t>
  </si>
  <si>
    <t>AREVALO DIAZ SAMUEL ALEJANDRO</t>
  </si>
  <si>
    <t>DOMINGUEZ MURILLO ANGELA</t>
  </si>
  <si>
    <t>DOMINGUEZ MURILLO YUNEISI</t>
  </si>
  <si>
    <t xml:space="preserve">MURILLO AGUDELO GLEYMAR </t>
  </si>
  <si>
    <t>LASCARRO HERNANDEZ MARIA FERNANDA</t>
  </si>
  <si>
    <t>CANO MESTRA LUZ ADRIANA</t>
  </si>
  <si>
    <t>GIRON PEREIRA AMADA SOFIA</t>
  </si>
  <si>
    <t>LOPEZ ORTEGA ANDRES CAMILO</t>
  </si>
  <si>
    <t>MOSQUERA RODRIGUEZ WILLIAM JOSE</t>
  </si>
  <si>
    <t>RAMIREZ OSPINO MARYORIS ANDREA</t>
  </si>
  <si>
    <t>RODRIGUEZ PENAGOS DANNA MARCELA</t>
  </si>
  <si>
    <t>CUDRIS NAVARRO LORAINE PAOLA</t>
  </si>
  <si>
    <t>BALMACEDA PADILLA SHADANYS SANDRITH</t>
  </si>
  <si>
    <t xml:space="preserve">CACERES VARGAS HENRY ALONSO   </t>
  </si>
  <si>
    <t>CONTRERAS TORRES YAJAIRA DANIELA</t>
  </si>
  <si>
    <t xml:space="preserve">CONTRERAS CADENAS FRAINER   </t>
  </si>
  <si>
    <t xml:space="preserve">DE AVILA CAÑAS KALETH ADRIAN   </t>
  </si>
  <si>
    <t xml:space="preserve">FONTALVO CORTEZ MARLYS ESTHER   </t>
  </si>
  <si>
    <t xml:space="preserve">GAITAN PEREZ GISSEL CAROLINA   </t>
  </si>
  <si>
    <t xml:space="preserve">GARCIA GAMARRA JUAN SEBASTIAN   </t>
  </si>
  <si>
    <t xml:space="preserve">GARCIA SANCHEZ YULIETH CAROLINA   </t>
  </si>
  <si>
    <t xml:space="preserve">GOMEZ BURGOS LUISA FERNANDA   </t>
  </si>
  <si>
    <t xml:space="preserve">HERRERA CAMPO SANDRA MILENA   </t>
  </si>
  <si>
    <t xml:space="preserve">HERRERA CARRILLO KEYSSA DANIELA   </t>
  </si>
  <si>
    <t xml:space="preserve">JACOME GONZALEZ ALEXA TATIANA   </t>
  </si>
  <si>
    <t xml:space="preserve">LOZANO LOPEZ LUIS EMILIO   </t>
  </si>
  <si>
    <t xml:space="preserve">LUNA BUENAVENTURA LEONARDO    </t>
  </si>
  <si>
    <t xml:space="preserve">ORTIZ SEGOVIA MELANI MICHELL   </t>
  </si>
  <si>
    <t xml:space="preserve">PEREZ MENDEZ KAROL MISHELL   </t>
  </si>
  <si>
    <t xml:space="preserve">RAMOS AYALA MICHEL ANDREA   </t>
  </si>
  <si>
    <t xml:space="preserve">RIVERO DURAN CAMILO ANDRES   </t>
  </si>
  <si>
    <t xml:space="preserve">RODRIGUEZ SEÑAS GENNY    </t>
  </si>
  <si>
    <t xml:space="preserve">ROMERO AROCA ELVIS ISAAC   </t>
  </si>
  <si>
    <t xml:space="preserve">SALAS ROCHA DAYANNA MICHEL   </t>
  </si>
  <si>
    <t xml:space="preserve">SOLANO QUINTANA JORGE LUIS   </t>
  </si>
  <si>
    <t xml:space="preserve">TORO TRILLOS EVER DAVID   </t>
  </si>
  <si>
    <t xml:space="preserve">URRUTIA TORRECILLA SHARYK NICOLLE   </t>
  </si>
  <si>
    <t xml:space="preserve">VILLEGAS CHIQUILLO MARLON YESITH   </t>
  </si>
  <si>
    <t xml:space="preserve">ARIAS BOWEN ALVARO MIGUEL  </t>
  </si>
  <si>
    <t xml:space="preserve">AROCA MAHECHA DANNA MARCELA  </t>
  </si>
  <si>
    <t xml:space="preserve">BERRIO CASTILLO JORGE ANDRES  </t>
  </si>
  <si>
    <t xml:space="preserve">CARDALES DOMINGUEZ JUAN SEBASTIAN  </t>
  </si>
  <si>
    <t xml:space="preserve">CARRASQUERO RIVAS ALBERTO JOSE   </t>
  </si>
  <si>
    <t xml:space="preserve">DOMINGUEZ DUARTE WILSON CAMILO  </t>
  </si>
  <si>
    <t xml:space="preserve">FARELO MARTINEZ DUVAN  </t>
  </si>
  <si>
    <t xml:space="preserve">FERRER HURTADO RAIDER DAVID  </t>
  </si>
  <si>
    <t xml:space="preserve">GARCIA TRILLOS YILDRETH PAOLA  </t>
  </si>
  <si>
    <t xml:space="preserve">GONZALEZ GIL YELKIS EVELIN  </t>
  </si>
  <si>
    <t xml:space="preserve">GUILLEN LEON ANA MELISSA  </t>
  </si>
  <si>
    <t xml:space="preserve">GUZMAN FLORES MELANY SOFIA  </t>
  </si>
  <si>
    <t xml:space="preserve">GUZMAN ROCO DAYANA PAOLA  </t>
  </si>
  <si>
    <t xml:space="preserve">LINARES CABANA LAURA SOFIA  </t>
  </si>
  <si>
    <t xml:space="preserve">LOZANO CORREA MERYS DALLANA  </t>
  </si>
  <si>
    <t xml:space="preserve">MARTÍNEZ DAZA KATERIN YISEL  </t>
  </si>
  <si>
    <t xml:space="preserve">MORALES FERNANDEZ RODNEY  </t>
  </si>
  <si>
    <t xml:space="preserve">NAVARRO BARON JUAN CAMILO  </t>
  </si>
  <si>
    <t xml:space="preserve">NUÑEZ CASTILLO GENESIS PAOLA  </t>
  </si>
  <si>
    <t xml:space="preserve">ORTIZ MEJIA AYERLAN YESITH  </t>
  </si>
  <si>
    <t xml:space="preserve">PEREZ MENDIOLA GABRIELA ESTEFANI  </t>
  </si>
  <si>
    <t xml:space="preserve">REYES MAESTRE NURIELBIS NICOL  </t>
  </si>
  <si>
    <t xml:space="preserve">RIVERA CONTRRERAS ALEXANDER  </t>
  </si>
  <si>
    <t xml:space="preserve">RODRIGUEZ VILORIA MANUEL RICARDO  </t>
  </si>
  <si>
    <t xml:space="preserve">SARABIA LEMUS CAMILO ANDRES  </t>
  </si>
  <si>
    <t xml:space="preserve">SOLANO HERNANDEZ MAICOL ANDRES  </t>
  </si>
  <si>
    <t xml:space="preserve">TOBIAS GIRALDO OMER STEVEN  </t>
  </si>
  <si>
    <t xml:space="preserve">TOVAR TORREGROSA LUIS ALFONSO  </t>
  </si>
  <si>
    <t>SANCHEZ GELVES YEREDITH</t>
  </si>
  <si>
    <t>DONADO GUTIERREZ VALERY MICHELL</t>
  </si>
  <si>
    <t>IQUNAS MERCADO NEVIS GABRIELA</t>
  </si>
  <si>
    <t>TORO LOPEZ JHOSEP  SAVIER</t>
  </si>
  <si>
    <t>MARTINEZ GUEVARA CAROLINA</t>
  </si>
  <si>
    <t>MORENO HOYOS HELEN YISEL</t>
  </si>
  <si>
    <t>ACOSTA MENDOZA LAURA VANESSA</t>
  </si>
  <si>
    <t>DIAZ RODRIGUEZ DILAN ENRIQUE</t>
  </si>
  <si>
    <t>HERNANDEZ ARDILA  DALIANA</t>
  </si>
  <si>
    <t>MAESTRE DE LA ROSA HORBEY JOSETH</t>
  </si>
  <si>
    <t>ROMERO DE MOYA NEIMIR DAVID</t>
  </si>
  <si>
    <t>ANGULO PEREZ ANGUYS VANESA</t>
  </si>
  <si>
    <t>HERNANDEZ ARDILA DAYANA</t>
  </si>
  <si>
    <t>HERNANDEZ RODRIGUEZ CARLOS FELIPE</t>
  </si>
  <si>
    <t>GARCIA VASQUEZ TASHARY MICHELL</t>
  </si>
  <si>
    <t>CANEDO GONZALEZ LUISA FERNANDA</t>
  </si>
  <si>
    <t>MEYER FLOREZ SAIDIS MISHELL</t>
  </si>
  <si>
    <t>SOLANO PORRAS IVANNA VALENTINA</t>
  </si>
  <si>
    <t>DIAZ NUÑEZ DANIEL F</t>
  </si>
  <si>
    <t>CARDALES DOMINGUEZ SANTIAGO ENRIQ</t>
  </si>
  <si>
    <t>OSPINO RIVERA SHARITH</t>
  </si>
  <si>
    <t>PALOMINO CARDEÑO DAYMI PAOLA</t>
  </si>
  <si>
    <t>HERNANDEZ HERNANDEZ JOHAN ESTIVEN</t>
  </si>
  <si>
    <t>HURTADO HERNANDEZ SHARITH MICHEL</t>
  </si>
  <si>
    <t>RIVERA YIRBELY</t>
  </si>
  <si>
    <t>YATT CASTRO JUAN ESTEBAN</t>
  </si>
  <si>
    <t>ARIAS BRITO LEIVER STIVEN</t>
  </si>
  <si>
    <t>CASTILLO BERDUGO VALERIA SOFIA</t>
  </si>
  <si>
    <t>HERNANDEZ HERNANDEZ JUAN SEBASTIAN</t>
  </si>
  <si>
    <t>ULLOA MENDOZA SHAROL DAYANA</t>
  </si>
  <si>
    <t>LOPEZ RODRIGUEZ SAMUEL</t>
  </si>
  <si>
    <t>MADRID TOLOZA LEONEL ANDRES</t>
  </si>
  <si>
    <t>CAMPO DORIA ALEXABETH</t>
  </si>
  <si>
    <t>JIMENEZ MISATH LUIS JOSE</t>
  </si>
  <si>
    <t>LARA SOSSA JAIRA SOFIA</t>
  </si>
  <si>
    <t>BORNACELLY RENDON MARIA VALENTINA</t>
  </si>
  <si>
    <t>ASIGNATURA: 
PERÍODO: 4</t>
  </si>
  <si>
    <t>PERÍODO: 4</t>
  </si>
  <si>
    <t xml:space="preserve">ASIGNATURA: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</si>
</sst>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theme="1"/>
      <name val="Calibri Light"/>
      <family val="1"/>
      <scheme val="maj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  <font>
      <b/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23" fillId="0" borderId="0"/>
  </cellStyleXfs>
  <cellXfs count="386">
    <xf numFmtId="0" fontId="0" fillId="0" borderId="0" xfId="0"/>
    <xf numFmtId="0" fontId="0" fillId="0" borderId="0" xfId="0" applyProtection="1">
      <protection locked="0"/>
    </xf>
    <xf numFmtId="0" fontId="12" fillId="0" borderId="6" xfId="0" applyFont="1" applyBorder="1" applyAlignment="1" applyProtection="1">
      <alignment horizontal="center" vertical="center" textRotation="90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left"/>
      <protection locked="0"/>
    </xf>
    <xf numFmtId="1" fontId="9" fillId="0" borderId="10" xfId="0" applyNumberFormat="1" applyFont="1" applyBorder="1" applyAlignment="1" applyProtection="1">
      <alignment horizontal="center" vertical="center"/>
      <protection locked="0"/>
    </xf>
    <xf numFmtId="1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10" xfId="0" applyNumberFormat="1" applyFont="1" applyBorder="1" applyAlignment="1" applyProtection="1">
      <alignment horizontal="center" vertic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1" fontId="9" fillId="0" borderId="7" xfId="0" applyNumberFormat="1" applyFont="1" applyBorder="1" applyAlignment="1" applyProtection="1">
      <alignment horizontal="center" vertical="center"/>
      <protection locked="0"/>
    </xf>
    <xf numFmtId="1" fontId="9" fillId="0" borderId="10" xfId="0" applyNumberFormat="1" applyFont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0" fontId="0" fillId="0" borderId="4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left"/>
      <protection locked="0"/>
    </xf>
    <xf numFmtId="1" fontId="9" fillId="0" borderId="9" xfId="0" applyNumberFormat="1" applyFont="1" applyBorder="1" applyAlignment="1">
      <alignment horizontal="center" vertical="center"/>
    </xf>
    <xf numFmtId="164" fontId="9" fillId="0" borderId="7" xfId="0" applyNumberFormat="1" applyFont="1" applyBorder="1" applyAlignment="1" applyProtection="1">
      <alignment horizontal="center" vertical="center"/>
      <protection locked="0"/>
    </xf>
    <xf numFmtId="1" fontId="9" fillId="0" borderId="7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164" fontId="9" fillId="0" borderId="3" xfId="0" applyNumberFormat="1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 vertical="center"/>
      <protection locked="0"/>
    </xf>
    <xf numFmtId="0" fontId="12" fillId="0" borderId="40" xfId="0" applyFont="1" applyBorder="1" applyAlignment="1" applyProtection="1">
      <alignment horizontal="center" vertical="center" textRotation="90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1" fontId="9" fillId="0" borderId="65" xfId="0" applyNumberFormat="1" applyFont="1" applyBorder="1" applyAlignment="1" applyProtection="1">
      <alignment horizontal="center" vertical="center"/>
      <protection locked="0"/>
    </xf>
    <xf numFmtId="1" fontId="9" fillId="0" borderId="66" xfId="0" applyNumberFormat="1" applyFont="1" applyBorder="1" applyAlignment="1" applyProtection="1">
      <alignment horizontal="center" vertical="center"/>
      <protection locked="0"/>
    </xf>
    <xf numFmtId="1" fontId="9" fillId="0" borderId="66" xfId="0" applyNumberFormat="1" applyFont="1" applyBorder="1" applyAlignment="1">
      <alignment horizontal="center" vertical="center"/>
    </xf>
    <xf numFmtId="1" fontId="9" fillId="0" borderId="69" xfId="0" applyNumberFormat="1" applyFont="1" applyBorder="1" applyAlignment="1">
      <alignment horizontal="center" vertical="center"/>
    </xf>
    <xf numFmtId="1" fontId="9" fillId="0" borderId="70" xfId="0" applyNumberFormat="1" applyFont="1" applyBorder="1" applyAlignment="1">
      <alignment horizontal="center" vertical="center"/>
    </xf>
    <xf numFmtId="1" fontId="9" fillId="0" borderId="45" xfId="0" applyNumberFormat="1" applyFont="1" applyBorder="1" applyAlignment="1" applyProtection="1">
      <alignment horizontal="center" vertical="center"/>
      <protection locked="0"/>
    </xf>
    <xf numFmtId="0" fontId="22" fillId="0" borderId="61" xfId="0" applyFont="1" applyBorder="1" applyProtection="1">
      <protection locked="0"/>
    </xf>
    <xf numFmtId="0" fontId="22" fillId="0" borderId="61" xfId="0" applyFont="1" applyBorder="1" applyAlignment="1" applyProtection="1">
      <alignment horizontal="left" vertical="center" wrapText="1"/>
      <protection locked="0"/>
    </xf>
    <xf numFmtId="0" fontId="23" fillId="0" borderId="0" xfId="0" applyFont="1" applyProtection="1">
      <protection locked="0"/>
    </xf>
    <xf numFmtId="0" fontId="0" fillId="0" borderId="62" xfId="0" applyBorder="1" applyAlignment="1" applyProtection="1">
      <alignment horizontal="center" vertical="center"/>
      <protection locked="0"/>
    </xf>
    <xf numFmtId="0" fontId="0" fillId="0" borderId="73" xfId="0" applyBorder="1" applyAlignment="1" applyProtection="1">
      <alignment horizontal="center" vertical="center"/>
      <protection locked="0"/>
    </xf>
    <xf numFmtId="0" fontId="23" fillId="0" borderId="71" xfId="0" applyFont="1" applyBorder="1" applyAlignment="1" applyProtection="1">
      <alignment horizontal="left"/>
      <protection locked="0"/>
    </xf>
    <xf numFmtId="0" fontId="23" fillId="0" borderId="72" xfId="0" applyFont="1" applyBorder="1" applyAlignment="1" applyProtection="1">
      <alignment horizontal="left"/>
      <protection locked="0"/>
    </xf>
    <xf numFmtId="0" fontId="22" fillId="0" borderId="74" xfId="0" applyFont="1" applyBorder="1" applyAlignment="1" applyProtection="1">
      <alignment horizontal="left" vertical="center" wrapText="1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1" fontId="9" fillId="0" borderId="75" xfId="0" applyNumberFormat="1" applyFont="1" applyBorder="1" applyAlignment="1" applyProtection="1">
      <alignment horizontal="center" vertical="center"/>
      <protection locked="0"/>
    </xf>
    <xf numFmtId="1" fontId="9" fillId="0" borderId="76" xfId="0" applyNumberFormat="1" applyFont="1" applyBorder="1" applyAlignment="1" applyProtection="1">
      <alignment horizontal="center" vertical="center"/>
      <protection locked="0"/>
    </xf>
    <xf numFmtId="1" fontId="9" fillId="0" borderId="77" xfId="0" applyNumberFormat="1" applyFont="1" applyBorder="1" applyAlignment="1" applyProtection="1">
      <alignment horizontal="center" vertical="center"/>
      <protection locked="0"/>
    </xf>
    <xf numFmtId="1" fontId="9" fillId="0" borderId="78" xfId="0" applyNumberFormat="1" applyFont="1" applyBorder="1" applyAlignment="1" applyProtection="1">
      <alignment horizontal="center" vertical="center"/>
      <protection locked="0"/>
    </xf>
    <xf numFmtId="1" fontId="9" fillId="0" borderId="79" xfId="0" applyNumberFormat="1" applyFont="1" applyBorder="1" applyAlignment="1">
      <alignment horizontal="center" vertical="center"/>
    </xf>
    <xf numFmtId="164" fontId="9" fillId="0" borderId="78" xfId="0" applyNumberFormat="1" applyFont="1" applyBorder="1" applyAlignment="1" applyProtection="1">
      <alignment horizontal="center" vertical="center"/>
      <protection locked="0"/>
    </xf>
    <xf numFmtId="1" fontId="9" fillId="0" borderId="8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45" xfId="0" applyNumberFormat="1" applyFont="1" applyBorder="1" applyAlignment="1">
      <alignment horizontal="center" vertical="center"/>
    </xf>
    <xf numFmtId="0" fontId="21" fillId="0" borderId="61" xfId="1" applyFont="1" applyBorder="1" applyProtection="1">
      <protection locked="0"/>
    </xf>
    <xf numFmtId="1" fontId="9" fillId="0" borderId="82" xfId="0" applyNumberFormat="1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27" fillId="0" borderId="0" xfId="0" applyFont="1" applyProtection="1">
      <protection locked="0"/>
    </xf>
    <xf numFmtId="0" fontId="27" fillId="0" borderId="71" xfId="0" applyFont="1" applyBorder="1" applyAlignment="1" applyProtection="1">
      <alignment horizontal="left"/>
      <protection locked="0"/>
    </xf>
    <xf numFmtId="0" fontId="27" fillId="0" borderId="10" xfId="0" applyFont="1" applyBorder="1" applyAlignment="1" applyProtection="1">
      <alignment horizontal="left"/>
      <protection locked="0"/>
    </xf>
    <xf numFmtId="0" fontId="27" fillId="0" borderId="7" xfId="0" applyFont="1" applyBorder="1" applyAlignment="1" applyProtection="1">
      <alignment horizontal="left"/>
      <protection locked="0"/>
    </xf>
    <xf numFmtId="0" fontId="10" fillId="0" borderId="10" xfId="0" applyFont="1" applyBorder="1" applyAlignment="1" applyProtection="1">
      <alignment horizontal="left"/>
      <protection locked="0"/>
    </xf>
    <xf numFmtId="0" fontId="29" fillId="0" borderId="61" xfId="0" applyFont="1" applyBorder="1" applyAlignment="1" applyProtection="1">
      <alignment horizontal="left"/>
      <protection locked="0"/>
    </xf>
    <xf numFmtId="0" fontId="31" fillId="0" borderId="61" xfId="1" applyFont="1" applyBorder="1" applyAlignment="1" applyProtection="1">
      <alignment horizontal="left" vertical="center" wrapText="1"/>
      <protection locked="0"/>
    </xf>
    <xf numFmtId="0" fontId="29" fillId="0" borderId="61" xfId="2" applyFont="1" applyBorder="1" applyProtection="1">
      <protection locked="0"/>
    </xf>
    <xf numFmtId="0" fontId="31" fillId="0" borderId="60" xfId="0" applyFont="1" applyBorder="1" applyAlignment="1" applyProtection="1">
      <alignment horizontal="left" vertical="center" wrapText="1"/>
      <protection locked="0"/>
    </xf>
    <xf numFmtId="0" fontId="26" fillId="0" borderId="61" xfId="0" applyFont="1" applyBorder="1" applyAlignment="1" applyProtection="1">
      <alignment horizontal="left"/>
      <protection locked="0"/>
    </xf>
    <xf numFmtId="0" fontId="26" fillId="0" borderId="61" xfId="2" applyFont="1" applyBorder="1" applyProtection="1">
      <protection locked="0"/>
    </xf>
    <xf numFmtId="0" fontId="26" fillId="0" borderId="63" xfId="0" applyFont="1" applyBorder="1" applyAlignment="1" applyProtection="1">
      <alignment horizontal="left"/>
      <protection locked="0"/>
    </xf>
    <xf numFmtId="0" fontId="32" fillId="0" borderId="61" xfId="0" applyFont="1" applyBorder="1" applyAlignment="1" applyProtection="1">
      <alignment horizontal="left"/>
      <protection locked="0"/>
    </xf>
    <xf numFmtId="0" fontId="32" fillId="0" borderId="61" xfId="2" applyFont="1" applyBorder="1" applyProtection="1">
      <protection locked="0"/>
    </xf>
    <xf numFmtId="0" fontId="31" fillId="0" borderId="61" xfId="0" applyFont="1" applyBorder="1" applyAlignment="1" applyProtection="1">
      <alignment horizontal="left" vertical="center" wrapText="1"/>
      <protection locked="0"/>
    </xf>
    <xf numFmtId="0" fontId="31" fillId="0" borderId="61" xfId="0" applyFont="1" applyBorder="1" applyProtection="1">
      <protection locked="0"/>
    </xf>
    <xf numFmtId="0" fontId="31" fillId="0" borderId="61" xfId="2" applyFont="1" applyBorder="1" applyProtection="1">
      <protection locked="0"/>
    </xf>
    <xf numFmtId="0" fontId="30" fillId="0" borderId="61" xfId="0" applyFont="1" applyBorder="1" applyAlignment="1" applyProtection="1">
      <alignment horizontal="left"/>
      <protection locked="0"/>
    </xf>
    <xf numFmtId="0" fontId="28" fillId="0" borderId="10" xfId="0" applyFont="1" applyBorder="1" applyAlignment="1" applyProtection="1">
      <alignment horizontal="left"/>
      <protection locked="0"/>
    </xf>
    <xf numFmtId="0" fontId="26" fillId="0" borderId="60" xfId="0" applyFont="1" applyBorder="1" applyAlignment="1" applyProtection="1">
      <alignment horizontal="left"/>
      <protection locked="0"/>
    </xf>
    <xf numFmtId="0" fontId="2" fillId="0" borderId="61" xfId="0" applyFont="1" applyBorder="1" applyAlignment="1" applyProtection="1">
      <alignment horizontal="left"/>
      <protection locked="0"/>
    </xf>
    <xf numFmtId="0" fontId="23" fillId="0" borderId="61" xfId="0" applyFont="1" applyBorder="1" applyAlignment="1" applyProtection="1">
      <alignment horizontal="left"/>
      <protection locked="0"/>
    </xf>
    <xf numFmtId="0" fontId="23" fillId="0" borderId="64" xfId="0" applyFont="1" applyBorder="1" applyAlignment="1" applyProtection="1">
      <alignment horizontal="left"/>
      <protection locked="0"/>
    </xf>
    <xf numFmtId="0" fontId="31" fillId="0" borderId="74" xfId="2" applyFont="1" applyBorder="1" applyAlignment="1" applyProtection="1">
      <alignment horizontal="left" vertical="center" wrapText="1"/>
      <protection locked="0"/>
    </xf>
    <xf numFmtId="0" fontId="29" fillId="0" borderId="74" xfId="2" applyFont="1" applyBorder="1" applyProtection="1">
      <protection locked="0"/>
    </xf>
    <xf numFmtId="0" fontId="22" fillId="0" borderId="61" xfId="1" applyFont="1" applyBorder="1" applyAlignment="1" applyProtection="1">
      <alignment horizontal="left" vertical="center" wrapText="1"/>
      <protection locked="0"/>
    </xf>
    <xf numFmtId="0" fontId="31" fillId="0" borderId="60" xfId="0" applyFont="1" applyBorder="1" applyProtection="1">
      <protection locked="0"/>
    </xf>
    <xf numFmtId="0" fontId="30" fillId="0" borderId="71" xfId="3" applyFont="1" applyBorder="1" applyAlignment="1" applyProtection="1">
      <alignment horizontal="left"/>
      <protection locked="0"/>
    </xf>
    <xf numFmtId="0" fontId="22" fillId="0" borderId="60" xfId="0" applyFont="1" applyBorder="1" applyProtection="1">
      <protection locked="0"/>
    </xf>
    <xf numFmtId="0" fontId="29" fillId="0" borderId="74" xfId="1" applyFont="1" applyBorder="1" applyProtection="1">
      <protection locked="0"/>
    </xf>
    <xf numFmtId="0" fontId="0" fillId="0" borderId="90" xfId="0" applyBorder="1" applyAlignment="1" applyProtection="1">
      <alignment horizontal="center" vertical="center"/>
      <protection locked="0"/>
    </xf>
    <xf numFmtId="0" fontId="33" fillId="0" borderId="61" xfId="1" applyFont="1" applyBorder="1" applyProtection="1">
      <protection locked="0"/>
    </xf>
    <xf numFmtId="0" fontId="33" fillId="0" borderId="15" xfId="1" applyFont="1" applyBorder="1" applyProtection="1">
      <protection locked="0"/>
    </xf>
    <xf numFmtId="0" fontId="33" fillId="0" borderId="15" xfId="2" applyFont="1" applyBorder="1" applyProtection="1">
      <protection locked="0"/>
    </xf>
    <xf numFmtId="0" fontId="9" fillId="0" borderId="71" xfId="0" applyFont="1" applyBorder="1" applyAlignment="1" applyProtection="1">
      <alignment horizontal="left"/>
      <protection locked="0"/>
    </xf>
    <xf numFmtId="0" fontId="9" fillId="0" borderId="72" xfId="0" applyFont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9" fillId="0" borderId="43" xfId="0" applyFont="1" applyBorder="1" applyAlignment="1" applyProtection="1">
      <alignment horizontal="left"/>
      <protection locked="0"/>
    </xf>
    <xf numFmtId="0" fontId="33" fillId="0" borderId="61" xfId="1" applyFont="1" applyBorder="1"/>
    <xf numFmtId="0" fontId="30" fillId="0" borderId="64" xfId="0" applyFont="1" applyBorder="1" applyAlignment="1" applyProtection="1">
      <alignment horizontal="left"/>
      <protection locked="0"/>
    </xf>
    <xf numFmtId="0" fontId="35" fillId="0" borderId="18" xfId="0" applyFont="1" applyBorder="1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0" fontId="30" fillId="0" borderId="71" xfId="0" applyFont="1" applyBorder="1" applyAlignment="1" applyProtection="1">
      <alignment horizontal="left"/>
      <protection locked="0"/>
    </xf>
    <xf numFmtId="0" fontId="30" fillId="0" borderId="72" xfId="0" applyFont="1" applyBorder="1" applyAlignment="1" applyProtection="1">
      <alignment horizontal="left"/>
      <protection locked="0"/>
    </xf>
    <xf numFmtId="0" fontId="31" fillId="0" borderId="61" xfId="1" applyFont="1" applyBorder="1"/>
    <xf numFmtId="0" fontId="33" fillId="0" borderId="15" xfId="0" applyFont="1" applyBorder="1" applyProtection="1">
      <protection locked="0"/>
    </xf>
    <xf numFmtId="0" fontId="9" fillId="0" borderId="10" xfId="0" applyFont="1" applyBorder="1" applyAlignment="1" applyProtection="1">
      <alignment horizontal="left"/>
      <protection locked="0"/>
    </xf>
    <xf numFmtId="0" fontId="9" fillId="0" borderId="7" xfId="0" applyFont="1" applyBorder="1" applyAlignment="1" applyProtection="1">
      <alignment horizontal="left"/>
      <protection locked="0"/>
    </xf>
    <xf numFmtId="1" fontId="9" fillId="0" borderId="48" xfId="0" applyNumberFormat="1" applyFont="1" applyBorder="1" applyAlignment="1" applyProtection="1">
      <alignment horizontal="center" vertical="center"/>
      <protection locked="0"/>
    </xf>
    <xf numFmtId="1" fontId="9" fillId="0" borderId="15" xfId="0" applyNumberFormat="1" applyFont="1" applyBorder="1" applyAlignment="1" applyProtection="1">
      <alignment horizontal="center" vertical="center"/>
      <protection locked="0"/>
    </xf>
    <xf numFmtId="1" fontId="9" fillId="0" borderId="56" xfId="0" applyNumberFormat="1" applyFont="1" applyBorder="1" applyAlignment="1" applyProtection="1">
      <alignment horizontal="center" vertical="center"/>
      <protection locked="0"/>
    </xf>
    <xf numFmtId="0" fontId="26" fillId="0" borderId="63" xfId="0" applyFont="1" applyBorder="1" applyAlignment="1" applyProtection="1">
      <alignment vertical="center"/>
      <protection locked="0"/>
    </xf>
    <xf numFmtId="0" fontId="26" fillId="0" borderId="61" xfId="0" applyFont="1" applyBorder="1" applyAlignment="1" applyProtection="1">
      <alignment vertical="center"/>
      <protection locked="0"/>
    </xf>
    <xf numFmtId="0" fontId="36" fillId="0" borderId="61" xfId="0" applyFont="1" applyBorder="1" applyAlignment="1" applyProtection="1">
      <alignment vertical="center"/>
      <protection locked="0"/>
    </xf>
    <xf numFmtId="0" fontId="37" fillId="0" borderId="61" xfId="1" applyFont="1" applyBorder="1"/>
    <xf numFmtId="0" fontId="27" fillId="0" borderId="61" xfId="0" applyFont="1" applyBorder="1"/>
    <xf numFmtId="0" fontId="26" fillId="0" borderId="61" xfId="2" applyFont="1" applyBorder="1" applyAlignment="1">
      <alignment vertical="center"/>
    </xf>
    <xf numFmtId="0" fontId="32" fillId="0" borderId="61" xfId="0" applyFont="1" applyBorder="1" applyAlignment="1" applyProtection="1">
      <alignment horizontal="left" vertical="center" wrapText="1"/>
      <protection locked="0"/>
    </xf>
    <xf numFmtId="0" fontId="26" fillId="0" borderId="61" xfId="1" applyFont="1" applyBorder="1"/>
    <xf numFmtId="0" fontId="38" fillId="0" borderId="61" xfId="1" applyFont="1" applyBorder="1" applyAlignment="1" applyProtection="1">
      <alignment horizontal="left" vertical="center" wrapText="1"/>
      <protection locked="0"/>
    </xf>
    <xf numFmtId="0" fontId="36" fillId="0" borderId="61" xfId="0" applyFont="1" applyBorder="1" applyAlignment="1" applyProtection="1">
      <alignment horizontal="left"/>
      <protection locked="0"/>
    </xf>
    <xf numFmtId="0" fontId="38" fillId="0" borderId="61" xfId="0" applyFont="1" applyBorder="1" applyAlignment="1" applyProtection="1">
      <alignment horizontal="left" vertical="center" wrapText="1"/>
      <protection locked="0"/>
    </xf>
    <xf numFmtId="0" fontId="32" fillId="0" borderId="63" xfId="0" applyFont="1" applyBorder="1" applyAlignment="1" applyProtection="1">
      <alignment horizontal="left" vertical="center" wrapText="1"/>
      <protection locked="0"/>
    </xf>
    <xf numFmtId="0" fontId="26" fillId="0" borderId="61" xfId="1" applyFont="1" applyBorder="1" applyProtection="1">
      <protection locked="0"/>
    </xf>
    <xf numFmtId="0" fontId="32" fillId="0" borderId="63" xfId="1" applyFont="1" applyBorder="1" applyAlignment="1" applyProtection="1">
      <alignment horizontal="left" vertical="center" wrapText="1"/>
      <protection locked="0"/>
    </xf>
    <xf numFmtId="0" fontId="32" fillId="0" borderId="61" xfId="1" applyFont="1" applyBorder="1" applyAlignment="1" applyProtection="1">
      <alignment horizontal="left" vertical="center" wrapText="1"/>
      <protection locked="0"/>
    </xf>
    <xf numFmtId="0" fontId="32" fillId="0" borderId="61" xfId="0" applyFont="1" applyBorder="1" applyProtection="1">
      <protection locked="0"/>
    </xf>
    <xf numFmtId="0" fontId="26" fillId="0" borderId="61" xfId="0" applyFont="1" applyBorder="1" applyAlignment="1" applyProtection="1">
      <alignment horizontal="left" wrapText="1"/>
      <protection locked="0"/>
    </xf>
    <xf numFmtId="0" fontId="26" fillId="0" borderId="61" xfId="1" applyFont="1" applyBorder="1" applyAlignment="1" applyProtection="1">
      <alignment wrapText="1"/>
      <protection locked="0"/>
    </xf>
    <xf numFmtId="0" fontId="32" fillId="0" borderId="61" xfId="1" applyFont="1" applyBorder="1"/>
    <xf numFmtId="0" fontId="39" fillId="0" borderId="61" xfId="1" applyFont="1" applyBorder="1"/>
    <xf numFmtId="0" fontId="37" fillId="0" borderId="61" xfId="0" applyFont="1" applyBorder="1" applyAlignment="1" applyProtection="1">
      <alignment horizontal="left"/>
      <protection locked="0"/>
    </xf>
    <xf numFmtId="0" fontId="32" fillId="0" borderId="63" xfId="0" applyFont="1" applyBorder="1" applyProtection="1">
      <protection locked="0"/>
    </xf>
    <xf numFmtId="0" fontId="32" fillId="0" borderId="61" xfId="1" applyFont="1" applyBorder="1" applyAlignment="1">
      <alignment horizontal="left" vertical="center" wrapText="1"/>
    </xf>
    <xf numFmtId="0" fontId="39" fillId="0" borderId="61" xfId="1" applyFont="1" applyBorder="1" applyAlignment="1">
      <alignment horizontal="left" vertical="center" wrapText="1"/>
    </xf>
    <xf numFmtId="1" fontId="9" fillId="0" borderId="96" xfId="0" applyNumberFormat="1" applyFont="1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1" fontId="9" fillId="8" borderId="15" xfId="0" applyNumberFormat="1" applyFont="1" applyFill="1" applyBorder="1" applyAlignment="1" applyProtection="1">
      <alignment vertical="center"/>
      <protection locked="0"/>
    </xf>
    <xf numFmtId="0" fontId="30" fillId="0" borderId="98" xfId="0" applyFont="1" applyBorder="1" applyAlignment="1" applyProtection="1">
      <alignment horizontal="left"/>
      <protection locked="0"/>
    </xf>
    <xf numFmtId="1" fontId="9" fillId="8" borderId="21" xfId="0" applyNumberFormat="1" applyFont="1" applyFill="1" applyBorder="1" applyAlignment="1" applyProtection="1">
      <alignment vertical="center"/>
      <protection locked="0"/>
    </xf>
    <xf numFmtId="0" fontId="0" fillId="0" borderId="21" xfId="0" applyBorder="1" applyProtection="1"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0" fontId="34" fillId="0" borderId="61" xfId="1" applyFont="1" applyBorder="1" applyAlignment="1" applyProtection="1">
      <alignment horizontal="left" vertical="center" wrapText="1"/>
      <protection locked="0"/>
    </xf>
    <xf numFmtId="0" fontId="9" fillId="0" borderId="61" xfId="0" applyFont="1" applyBorder="1" applyAlignment="1" applyProtection="1">
      <alignment horizontal="left"/>
      <protection locked="0"/>
    </xf>
    <xf numFmtId="0" fontId="9" fillId="0" borderId="64" xfId="0" applyFont="1" applyBorder="1" applyAlignment="1" applyProtection="1">
      <alignment horizontal="left"/>
      <protection locked="0"/>
    </xf>
    <xf numFmtId="1" fontId="9" fillId="0" borderId="65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" fontId="9" fillId="0" borderId="99" xfId="0" applyNumberFormat="1" applyFont="1" applyBorder="1" applyAlignment="1">
      <alignment horizontal="center" vertical="center"/>
    </xf>
    <xf numFmtId="1" fontId="9" fillId="0" borderId="46" xfId="0" applyNumberFormat="1" applyFont="1" applyBorder="1" applyAlignment="1" applyProtection="1">
      <alignment horizontal="center" vertical="center"/>
      <protection locked="0"/>
    </xf>
    <xf numFmtId="1" fontId="9" fillId="0" borderId="69" xfId="0" applyNumberFormat="1" applyFont="1" applyBorder="1" applyAlignment="1" applyProtection="1">
      <alignment horizontal="center" vertical="center"/>
      <protection locked="0"/>
    </xf>
    <xf numFmtId="1" fontId="9" fillId="0" borderId="52" xfId="0" applyNumberFormat="1" applyFont="1" applyBorder="1" applyAlignment="1" applyProtection="1">
      <alignment horizontal="center" vertical="center"/>
      <protection locked="0"/>
    </xf>
    <xf numFmtId="1" fontId="9" fillId="0" borderId="100" xfId="0" applyNumberFormat="1" applyFont="1" applyBorder="1" applyAlignment="1" applyProtection="1">
      <alignment horizontal="center" vertical="center"/>
      <protection locked="0"/>
    </xf>
    <xf numFmtId="1" fontId="9" fillId="0" borderId="70" xfId="0" applyNumberFormat="1" applyFont="1" applyBorder="1" applyAlignment="1" applyProtection="1">
      <alignment horizontal="center" vertical="center"/>
      <protection locked="0"/>
    </xf>
    <xf numFmtId="1" fontId="9" fillId="0" borderId="101" xfId="0" applyNumberFormat="1" applyFont="1" applyBorder="1" applyAlignment="1" applyProtection="1">
      <alignment horizontal="center" vertical="center"/>
      <protection locked="0"/>
    </xf>
    <xf numFmtId="1" fontId="9" fillId="0" borderId="54" xfId="0" applyNumberFormat="1" applyFont="1" applyBorder="1" applyAlignment="1" applyProtection="1">
      <alignment horizontal="center" vertical="center"/>
      <protection locked="0"/>
    </xf>
    <xf numFmtId="1" fontId="9" fillId="0" borderId="83" xfId="0" applyNumberFormat="1" applyFont="1" applyBorder="1" applyAlignment="1" applyProtection="1">
      <alignment horizontal="center" vertical="center"/>
      <protection locked="0"/>
    </xf>
    <xf numFmtId="0" fontId="37" fillId="0" borderId="61" xfId="1" applyFont="1" applyBorder="1" applyProtection="1">
      <protection locked="0"/>
    </xf>
    <xf numFmtId="0" fontId="27" fillId="0" borderId="63" xfId="0" applyFont="1" applyBorder="1" applyProtection="1">
      <protection locked="0"/>
    </xf>
    <xf numFmtId="0" fontId="27" fillId="0" borderId="61" xfId="0" applyFont="1" applyBorder="1" applyProtection="1">
      <protection locked="0"/>
    </xf>
    <xf numFmtId="0" fontId="26" fillId="0" borderId="61" xfId="2" applyFont="1" applyBorder="1" applyAlignment="1" applyProtection="1">
      <alignment vertical="center"/>
      <protection locked="0"/>
    </xf>
    <xf numFmtId="0" fontId="26" fillId="0" borderId="94" xfId="0" applyFont="1" applyBorder="1" applyAlignment="1" applyProtection="1">
      <alignment horizontal="left"/>
      <protection locked="0"/>
    </xf>
    <xf numFmtId="1" fontId="9" fillId="0" borderId="15" xfId="0" applyNumberFormat="1" applyFont="1" applyBorder="1" applyAlignment="1" applyProtection="1">
      <alignment vertical="center"/>
      <protection locked="0"/>
    </xf>
    <xf numFmtId="0" fontId="32" fillId="0" borderId="60" xfId="0" applyFont="1" applyBorder="1" applyAlignment="1" applyProtection="1">
      <alignment horizontal="left" vertical="center" wrapText="1"/>
      <protection locked="0"/>
    </xf>
    <xf numFmtId="0" fontId="26" fillId="0" borderId="94" xfId="0" applyFont="1" applyBorder="1" applyAlignment="1" applyProtection="1">
      <alignment vertical="center"/>
      <protection locked="0"/>
    </xf>
    <xf numFmtId="0" fontId="32" fillId="0" borderId="97" xfId="1" applyFont="1" applyBorder="1" applyAlignment="1" applyProtection="1">
      <alignment horizontal="left" vertical="center" wrapText="1"/>
      <protection locked="0"/>
    </xf>
    <xf numFmtId="0" fontId="26" fillId="0" borderId="61" xfId="0" applyFont="1" applyBorder="1" applyAlignment="1" applyProtection="1">
      <alignment horizontal="left" vertical="center"/>
      <protection locked="0"/>
    </xf>
    <xf numFmtId="0" fontId="37" fillId="0" borderId="61" xfId="1" applyFont="1" applyBorder="1" applyAlignment="1">
      <alignment vertical="center"/>
    </xf>
    <xf numFmtId="0" fontId="27" fillId="0" borderId="63" xfId="0" applyFont="1" applyBorder="1"/>
    <xf numFmtId="0" fontId="32" fillId="0" borderId="60" xfId="1" applyFont="1" applyBorder="1" applyAlignment="1" applyProtection="1">
      <alignment horizontal="left" vertical="center" wrapText="1"/>
      <protection locked="0"/>
    </xf>
    <xf numFmtId="0" fontId="1" fillId="0" borderId="0" xfId="2" applyFont="1"/>
    <xf numFmtId="0" fontId="38" fillId="0" borderId="61" xfId="1" applyFont="1" applyBorder="1"/>
    <xf numFmtId="0" fontId="32" fillId="0" borderId="61" xfId="2" applyFont="1" applyBorder="1" applyAlignment="1" applyProtection="1">
      <alignment horizontal="left" vertical="center" wrapText="1"/>
      <protection locked="0"/>
    </xf>
    <xf numFmtId="0" fontId="38" fillId="0" borderId="61" xfId="0" applyFont="1" applyBorder="1" applyAlignment="1" applyProtection="1">
      <alignment horizontal="left"/>
      <protection locked="0"/>
    </xf>
    <xf numFmtId="0" fontId="32" fillId="0" borderId="61" xfId="1" applyFont="1" applyBorder="1" applyProtection="1">
      <protection locked="0"/>
    </xf>
    <xf numFmtId="1" fontId="9" fillId="0" borderId="93" xfId="0" applyNumberFormat="1" applyFont="1" applyBorder="1" applyAlignment="1" applyProtection="1">
      <alignment horizontal="left" vertical="center"/>
      <protection locked="0"/>
    </xf>
    <xf numFmtId="1" fontId="9" fillId="0" borderId="2" xfId="0" applyNumberFormat="1" applyFont="1" applyBorder="1" applyAlignment="1" applyProtection="1">
      <alignment horizontal="left" vertical="center"/>
      <protection locked="0"/>
    </xf>
    <xf numFmtId="1" fontId="9" fillId="0" borderId="3" xfId="0" applyNumberFormat="1" applyFont="1" applyBorder="1" applyAlignment="1" applyProtection="1">
      <alignment horizontal="left" vertical="center"/>
      <protection locked="0"/>
    </xf>
    <xf numFmtId="1" fontId="9" fillId="0" borderId="95" xfId="0" applyNumberFormat="1" applyFont="1" applyBorder="1" applyAlignment="1" applyProtection="1">
      <alignment horizontal="left" vertical="center"/>
      <protection locked="0"/>
    </xf>
    <xf numFmtId="1" fontId="9" fillId="0" borderId="44" xfId="0" applyNumberFormat="1" applyFont="1" applyBorder="1" applyAlignment="1" applyProtection="1">
      <alignment horizontal="left" vertical="center"/>
      <protection locked="0"/>
    </xf>
    <xf numFmtId="1" fontId="9" fillId="0" borderId="45" xfId="0" applyNumberFormat="1" applyFont="1" applyBorder="1" applyAlignment="1" applyProtection="1">
      <alignment horizontal="left" vertical="center"/>
      <protection locked="0"/>
    </xf>
    <xf numFmtId="0" fontId="32" fillId="0" borderId="91" xfId="1" applyFont="1" applyBorder="1" applyAlignment="1" applyProtection="1">
      <alignment horizontal="left" vertical="center" wrapText="1"/>
      <protection locked="0"/>
    </xf>
    <xf numFmtId="0" fontId="37" fillId="0" borderId="74" xfId="1" applyFont="1" applyBorder="1"/>
    <xf numFmtId="0" fontId="5" fillId="0" borderId="9" xfId="0" applyFont="1" applyBorder="1" applyProtection="1">
      <protection locked="0"/>
    </xf>
    <xf numFmtId="0" fontId="5" fillId="0" borderId="14" xfId="0" applyFont="1" applyBorder="1" applyProtection="1">
      <protection locked="0"/>
    </xf>
    <xf numFmtId="0" fontId="20" fillId="0" borderId="21" xfId="0" applyFont="1" applyBorder="1" applyAlignment="1" applyProtection="1">
      <alignment horizontal="center"/>
      <protection locked="0"/>
    </xf>
    <xf numFmtId="0" fontId="5" fillId="0" borderId="21" xfId="0" applyFont="1" applyBorder="1" applyProtection="1">
      <protection locked="0"/>
    </xf>
    <xf numFmtId="1" fontId="9" fillId="0" borderId="23" xfId="0" applyNumberFormat="1" applyFont="1" applyBorder="1" applyAlignment="1" applyProtection="1">
      <alignment horizontal="center" vertical="center"/>
      <protection locked="0"/>
    </xf>
    <xf numFmtId="1" fontId="9" fillId="0" borderId="24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Protection="1">
      <protection locked="0"/>
    </xf>
    <xf numFmtId="164" fontId="10" fillId="5" borderId="32" xfId="0" applyNumberFormat="1" applyFont="1" applyFill="1" applyBorder="1" applyAlignment="1" applyProtection="1">
      <alignment horizontal="center" vertical="center" wrapText="1"/>
      <protection locked="0"/>
    </xf>
    <xf numFmtId="164" fontId="10" fillId="5" borderId="0" xfId="0" applyNumberFormat="1" applyFont="1" applyFill="1" applyAlignment="1" applyProtection="1">
      <alignment horizontal="center" vertical="center" wrapText="1"/>
      <protection locked="0"/>
    </xf>
    <xf numFmtId="164" fontId="10" fillId="5" borderId="17" xfId="0" applyNumberFormat="1" applyFont="1" applyFill="1" applyBorder="1" applyAlignment="1" applyProtection="1">
      <alignment horizontal="center" vertical="center" wrapText="1"/>
      <protection locked="0"/>
    </xf>
    <xf numFmtId="164" fontId="10" fillId="5" borderId="25" xfId="0" applyNumberFormat="1" applyFont="1" applyFill="1" applyBorder="1" applyAlignment="1" applyProtection="1">
      <alignment horizontal="center" vertical="center" wrapText="1"/>
      <protection locked="0"/>
    </xf>
    <xf numFmtId="164" fontId="10" fillId="5" borderId="26" xfId="0" applyNumberFormat="1" applyFont="1" applyFill="1" applyBorder="1" applyAlignment="1" applyProtection="1">
      <alignment horizontal="center" vertical="center" wrapText="1"/>
      <protection locked="0"/>
    </xf>
    <xf numFmtId="164" fontId="10" fillId="5" borderId="18" xfId="0" applyNumberFormat="1" applyFont="1" applyFill="1" applyBorder="1" applyAlignment="1" applyProtection="1">
      <alignment horizontal="center" vertical="center" wrapText="1"/>
      <protection locked="0"/>
    </xf>
    <xf numFmtId="0" fontId="0" fillId="6" borderId="32" xfId="0" applyFill="1" applyBorder="1" applyAlignment="1" applyProtection="1">
      <alignment horizontal="center" vertical="center" wrapText="1"/>
      <protection locked="0"/>
    </xf>
    <xf numFmtId="0" fontId="0" fillId="6" borderId="17" xfId="0" applyFill="1" applyBorder="1" applyAlignment="1" applyProtection="1">
      <alignment horizontal="center" vertical="center" wrapText="1"/>
      <protection locked="0"/>
    </xf>
    <xf numFmtId="0" fontId="0" fillId="6" borderId="25" xfId="0" applyFill="1" applyBorder="1" applyAlignment="1" applyProtection="1">
      <alignment horizontal="center" vertical="center" wrapText="1"/>
      <protection locked="0"/>
    </xf>
    <xf numFmtId="0" fontId="0" fillId="6" borderId="18" xfId="0" applyFill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164" fontId="9" fillId="0" borderId="1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" fontId="9" fillId="0" borderId="15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Protection="1">
      <protection locked="0"/>
    </xf>
    <xf numFmtId="164" fontId="9" fillId="0" borderId="19" xfId="0" applyNumberFormat="1" applyFont="1" applyBorder="1" applyAlignment="1" applyProtection="1">
      <alignment horizontal="center" vertical="center"/>
      <protection locked="0"/>
    </xf>
    <xf numFmtId="164" fontId="9" fillId="0" borderId="20" xfId="0" applyNumberFormat="1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1" fontId="5" fillId="0" borderId="15" xfId="0" applyNumberFormat="1" applyFont="1" applyBorder="1" applyAlignment="1" applyProtection="1">
      <alignment textRotation="90"/>
      <protection locked="0"/>
    </xf>
    <xf numFmtId="1" fontId="9" fillId="0" borderId="23" xfId="0" applyNumberFormat="1" applyFont="1" applyBorder="1" applyAlignment="1" applyProtection="1">
      <alignment horizontal="center" vertical="center" textRotation="90"/>
      <protection locked="0"/>
    </xf>
    <xf numFmtId="1" fontId="9" fillId="0" borderId="24" xfId="0" applyNumberFormat="1" applyFont="1" applyBorder="1" applyAlignment="1" applyProtection="1">
      <alignment horizontal="center" vertical="center" textRotation="90"/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0" borderId="38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5" fillId="0" borderId="17" xfId="0" applyFont="1" applyBorder="1" applyProtection="1">
      <protection locked="0"/>
    </xf>
    <xf numFmtId="0" fontId="5" fillId="0" borderId="23" xfId="0" applyFont="1" applyBorder="1" applyProtection="1">
      <protection locked="0"/>
    </xf>
    <xf numFmtId="0" fontId="7" fillId="0" borderId="29" xfId="0" applyFont="1" applyBorder="1" applyAlignment="1" applyProtection="1">
      <alignment horizontal="center" wrapText="1"/>
      <protection locked="0"/>
    </xf>
    <xf numFmtId="0" fontId="5" fillId="0" borderId="31" xfId="0" applyFont="1" applyBorder="1" applyProtection="1">
      <protection locked="0"/>
    </xf>
    <xf numFmtId="0" fontId="7" fillId="0" borderId="29" xfId="0" applyFont="1" applyBorder="1" applyAlignment="1" applyProtection="1">
      <alignment horizontal="center"/>
      <protection locked="0"/>
    </xf>
    <xf numFmtId="0" fontId="16" fillId="0" borderId="30" xfId="0" applyFont="1" applyBorder="1" applyAlignment="1" applyProtection="1">
      <alignment horizontal="center"/>
      <protection locked="0"/>
    </xf>
    <xf numFmtId="0" fontId="16" fillId="0" borderId="31" xfId="0" applyFont="1" applyBorder="1" applyAlignment="1" applyProtection="1">
      <alignment horizontal="center"/>
      <protection locked="0"/>
    </xf>
    <xf numFmtId="0" fontId="17" fillId="0" borderId="29" xfId="0" applyFont="1" applyBorder="1" applyProtection="1">
      <protection locked="0"/>
    </xf>
    <xf numFmtId="0" fontId="17" fillId="0" borderId="30" xfId="0" applyFont="1" applyBorder="1" applyProtection="1">
      <protection locked="0"/>
    </xf>
    <xf numFmtId="0" fontId="17" fillId="0" borderId="36" xfId="0" applyFont="1" applyBorder="1" applyProtection="1">
      <protection locked="0"/>
    </xf>
    <xf numFmtId="0" fontId="17" fillId="0" borderId="31" xfId="0" applyFont="1" applyBorder="1" applyProtection="1"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0" fontId="5" fillId="0" borderId="34" xfId="0" applyFont="1" applyBorder="1" applyProtection="1">
      <protection locked="0"/>
    </xf>
    <xf numFmtId="0" fontId="5" fillId="0" borderId="35" xfId="0" applyFont="1" applyBorder="1" applyProtection="1"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5" fillId="0" borderId="8" xfId="0" applyFont="1" applyBorder="1" applyProtection="1">
      <protection locked="0"/>
    </xf>
    <xf numFmtId="0" fontId="5" fillId="0" borderId="11" xfId="0" applyFont="1" applyBorder="1" applyProtection="1">
      <protection locked="0"/>
    </xf>
    <xf numFmtId="0" fontId="7" fillId="0" borderId="27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Protection="1">
      <protection locked="0"/>
    </xf>
    <xf numFmtId="0" fontId="15" fillId="2" borderId="24" xfId="0" applyFont="1" applyFill="1" applyBorder="1" applyAlignment="1" applyProtection="1">
      <alignment horizontal="center" vertical="center"/>
      <protection locked="0"/>
    </xf>
    <xf numFmtId="0" fontId="11" fillId="2" borderId="18" xfId="0" applyFont="1" applyFill="1" applyBorder="1" applyAlignment="1" applyProtection="1">
      <alignment horizontal="center" vertical="center" wrapText="1"/>
      <protection locked="0"/>
    </xf>
    <xf numFmtId="0" fontId="11" fillId="2" borderId="24" xfId="0" applyFont="1" applyFill="1" applyBorder="1" applyAlignment="1" applyProtection="1">
      <alignment horizontal="center" vertical="center" wrapText="1"/>
      <protection locked="0"/>
    </xf>
    <xf numFmtId="0" fontId="11" fillId="2" borderId="21" xfId="0" applyFont="1" applyFill="1" applyBorder="1" applyAlignment="1" applyProtection="1">
      <alignment horizontal="center" vertical="center" wrapText="1"/>
      <protection locked="0"/>
    </xf>
    <xf numFmtId="0" fontId="11" fillId="2" borderId="15" xfId="0" applyFont="1" applyFill="1" applyBorder="1" applyAlignment="1" applyProtection="1">
      <alignment horizontal="center" vertical="center" wrapText="1"/>
      <protection locked="0"/>
    </xf>
    <xf numFmtId="0" fontId="11" fillId="7" borderId="15" xfId="0" applyFont="1" applyFill="1" applyBorder="1" applyAlignment="1" applyProtection="1">
      <alignment horizontal="center" vertical="center" wrapText="1"/>
      <protection locked="0"/>
    </xf>
    <xf numFmtId="0" fontId="11" fillId="3" borderId="0" xfId="0" applyFont="1" applyFill="1" applyAlignment="1" applyProtection="1">
      <alignment horizontal="center" vertical="center" textRotation="90" wrapText="1"/>
      <protection locked="0"/>
    </xf>
    <xf numFmtId="0" fontId="5" fillId="3" borderId="0" xfId="0" applyFont="1" applyFill="1" applyAlignment="1" applyProtection="1">
      <alignment textRotation="90" wrapText="1"/>
      <protection locked="0"/>
    </xf>
    <xf numFmtId="0" fontId="5" fillId="3" borderId="6" xfId="0" applyFont="1" applyFill="1" applyBorder="1" applyAlignment="1" applyProtection="1">
      <alignment textRotation="90" wrapText="1"/>
      <protection locked="0"/>
    </xf>
    <xf numFmtId="0" fontId="14" fillId="0" borderId="24" xfId="0" applyFont="1" applyBorder="1" applyAlignment="1" applyProtection="1">
      <alignment horizontal="center" wrapText="1"/>
      <protection locked="0"/>
    </xf>
    <xf numFmtId="0" fontId="14" fillId="0" borderId="15" xfId="0" applyFont="1" applyBorder="1" applyAlignment="1" applyProtection="1">
      <alignment horizontal="center" wrapText="1"/>
      <protection locked="0"/>
    </xf>
    <xf numFmtId="0" fontId="8" fillId="0" borderId="24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Protection="1">
      <protection locked="0"/>
    </xf>
    <xf numFmtId="0" fontId="10" fillId="0" borderId="9" xfId="0" applyFont="1" applyBorder="1" applyAlignment="1" applyProtection="1">
      <alignment horizontal="center" vertical="center" textRotation="90"/>
      <protection locked="0"/>
    </xf>
    <xf numFmtId="0" fontId="10" fillId="0" borderId="12" xfId="0" applyFont="1" applyBorder="1" applyAlignment="1" applyProtection="1">
      <alignment horizontal="center" vertical="center" textRotation="90"/>
      <protection locked="0"/>
    </xf>
    <xf numFmtId="0" fontId="10" fillId="0" borderId="28" xfId="0" applyFont="1" applyBorder="1" applyAlignment="1" applyProtection="1">
      <alignment horizontal="center" vertical="center" textRotation="90"/>
      <protection locked="0"/>
    </xf>
    <xf numFmtId="0" fontId="17" fillId="4" borderId="22" xfId="0" applyFont="1" applyFill="1" applyBorder="1" applyAlignment="1" applyProtection="1">
      <alignment horizontal="center" vertical="center" textRotation="90" wrapText="1"/>
      <protection locked="0"/>
    </xf>
    <xf numFmtId="0" fontId="17" fillId="4" borderId="24" xfId="0" applyFont="1" applyFill="1" applyBorder="1" applyAlignment="1" applyProtection="1">
      <alignment horizontal="center" vertical="center" textRotation="90" wrapText="1"/>
      <protection locked="0"/>
    </xf>
    <xf numFmtId="0" fontId="13" fillId="7" borderId="22" xfId="0" applyFont="1" applyFill="1" applyBorder="1" applyAlignment="1">
      <alignment horizontal="center" vertical="center" textRotation="90" wrapText="1"/>
    </xf>
    <xf numFmtId="0" fontId="13" fillId="7" borderId="24" xfId="0" applyFont="1" applyFill="1" applyBorder="1" applyAlignment="1">
      <alignment horizontal="center" vertical="center" textRotation="90" wrapText="1"/>
    </xf>
    <xf numFmtId="164" fontId="9" fillId="0" borderId="40" xfId="0" applyNumberFormat="1" applyFont="1" applyBorder="1" applyAlignment="1" applyProtection="1">
      <alignment horizontal="center" vertical="center"/>
      <protection locked="0"/>
    </xf>
    <xf numFmtId="164" fontId="9" fillId="0" borderId="41" xfId="0" applyNumberFormat="1" applyFont="1" applyBorder="1" applyAlignment="1" applyProtection="1">
      <alignment horizontal="center" vertical="center"/>
      <protection locked="0"/>
    </xf>
    <xf numFmtId="1" fontId="5" fillId="0" borderId="48" xfId="0" applyNumberFormat="1" applyFont="1" applyBorder="1" applyProtection="1">
      <protection locked="0"/>
    </xf>
    <xf numFmtId="1" fontId="5" fillId="0" borderId="56" xfId="0" applyNumberFormat="1" applyFont="1" applyBorder="1" applyProtection="1">
      <protection locked="0"/>
    </xf>
    <xf numFmtId="1" fontId="9" fillId="0" borderId="49" xfId="0" applyNumberFormat="1" applyFont="1" applyBorder="1" applyAlignment="1" applyProtection="1">
      <alignment horizontal="center" vertical="center"/>
      <protection locked="0"/>
    </xf>
    <xf numFmtId="1" fontId="9" fillId="0" borderId="57" xfId="0" applyNumberFormat="1" applyFont="1" applyBorder="1" applyAlignment="1" applyProtection="1">
      <alignment horizontal="center" vertical="center"/>
      <protection locked="0"/>
    </xf>
    <xf numFmtId="0" fontId="5" fillId="0" borderId="48" xfId="0" applyFont="1" applyBorder="1" applyProtection="1">
      <protection locked="0"/>
    </xf>
    <xf numFmtId="0" fontId="5" fillId="0" borderId="56" xfId="0" applyFont="1" applyBorder="1" applyProtection="1">
      <protection locked="0"/>
    </xf>
    <xf numFmtId="0" fontId="5" fillId="0" borderId="46" xfId="0" applyFont="1" applyBorder="1" applyProtection="1">
      <protection locked="0"/>
    </xf>
    <xf numFmtId="0" fontId="5" fillId="0" borderId="52" xfId="0" applyFont="1" applyBorder="1" applyProtection="1">
      <protection locked="0"/>
    </xf>
    <xf numFmtId="0" fontId="5" fillId="0" borderId="54" xfId="0" applyFont="1" applyBorder="1" applyProtection="1">
      <protection locked="0"/>
    </xf>
    <xf numFmtId="0" fontId="6" fillId="0" borderId="47" xfId="0" applyFont="1" applyBorder="1" applyAlignment="1" applyProtection="1">
      <alignment horizontal="center"/>
      <protection locked="0"/>
    </xf>
    <xf numFmtId="1" fontId="5" fillId="0" borderId="48" xfId="0" applyNumberFormat="1" applyFont="1" applyBorder="1" applyAlignment="1" applyProtection="1">
      <alignment textRotation="90"/>
      <protection locked="0"/>
    </xf>
    <xf numFmtId="1" fontId="5" fillId="0" borderId="56" xfId="0" applyNumberFormat="1" applyFont="1" applyBorder="1" applyAlignment="1" applyProtection="1">
      <alignment textRotation="90"/>
      <protection locked="0"/>
    </xf>
    <xf numFmtId="0" fontId="5" fillId="0" borderId="55" xfId="0" applyFont="1" applyBorder="1" applyProtection="1">
      <protection locked="0"/>
    </xf>
    <xf numFmtId="1" fontId="9" fillId="0" borderId="49" xfId="0" applyNumberFormat="1" applyFont="1" applyBorder="1" applyAlignment="1" applyProtection="1">
      <alignment horizontal="center" vertical="center" textRotation="90"/>
      <protection locked="0"/>
    </xf>
    <xf numFmtId="1" fontId="9" fillId="0" borderId="57" xfId="0" applyNumberFormat="1" applyFont="1" applyBorder="1" applyAlignment="1" applyProtection="1">
      <alignment horizontal="center" vertical="center" textRotation="90"/>
      <protection locked="0"/>
    </xf>
    <xf numFmtId="1" fontId="9" fillId="0" borderId="48" xfId="0" applyNumberFormat="1" applyFont="1" applyBorder="1" applyAlignment="1" applyProtection="1">
      <alignment horizontal="center" vertical="center"/>
      <protection locked="0"/>
    </xf>
    <xf numFmtId="1" fontId="9" fillId="0" borderId="56" xfId="0" applyNumberFormat="1" applyFont="1" applyBorder="1" applyAlignment="1" applyProtection="1">
      <alignment horizontal="center" vertical="center"/>
      <protection locked="0"/>
    </xf>
    <xf numFmtId="164" fontId="9" fillId="0" borderId="43" xfId="0" applyNumberFormat="1" applyFont="1" applyBorder="1" applyAlignment="1">
      <alignment horizontal="center" vertical="center"/>
    </xf>
    <xf numFmtId="164" fontId="9" fillId="0" borderId="44" xfId="0" applyNumberFormat="1" applyFont="1" applyBorder="1" applyAlignment="1">
      <alignment horizontal="center" vertical="center"/>
    </xf>
    <xf numFmtId="164" fontId="9" fillId="0" borderId="45" xfId="0" applyNumberFormat="1" applyFont="1" applyBorder="1" applyAlignment="1">
      <alignment horizontal="center" vertical="center"/>
    </xf>
    <xf numFmtId="164" fontId="10" fillId="5" borderId="50" xfId="0" applyNumberFormat="1" applyFont="1" applyFill="1" applyBorder="1" applyAlignment="1" applyProtection="1">
      <alignment horizontal="center" vertical="center" wrapText="1"/>
      <protection locked="0"/>
    </xf>
    <xf numFmtId="164" fontId="10" fillId="5" borderId="36" xfId="0" applyNumberFormat="1" applyFont="1" applyFill="1" applyBorder="1" applyAlignment="1" applyProtection="1">
      <alignment horizontal="center" vertical="center" wrapText="1"/>
      <protection locked="0"/>
    </xf>
    <xf numFmtId="164" fontId="10" fillId="5" borderId="47" xfId="0" applyNumberFormat="1" applyFont="1" applyFill="1" applyBorder="1" applyAlignment="1" applyProtection="1">
      <alignment horizontal="center" vertical="center" wrapText="1"/>
      <protection locked="0"/>
    </xf>
    <xf numFmtId="164" fontId="10" fillId="5" borderId="58" xfId="0" applyNumberFormat="1" applyFont="1" applyFill="1" applyBorder="1" applyAlignment="1" applyProtection="1">
      <alignment horizontal="center" vertical="center" wrapText="1"/>
      <protection locked="0"/>
    </xf>
    <xf numFmtId="164" fontId="10" fillId="5" borderId="38" xfId="0" applyNumberFormat="1" applyFont="1" applyFill="1" applyBorder="1" applyAlignment="1" applyProtection="1">
      <alignment horizontal="center" vertical="center" wrapText="1"/>
      <protection locked="0"/>
    </xf>
    <xf numFmtId="164" fontId="10" fillId="5" borderId="59" xfId="0" applyNumberFormat="1" applyFont="1" applyFill="1" applyBorder="1" applyAlignment="1" applyProtection="1">
      <alignment horizontal="center" vertical="center" wrapText="1"/>
      <protection locked="0"/>
    </xf>
    <xf numFmtId="0" fontId="0" fillId="6" borderId="50" xfId="0" applyFill="1" applyBorder="1" applyAlignment="1" applyProtection="1">
      <alignment horizontal="center" vertical="center" wrapText="1"/>
      <protection locked="0"/>
    </xf>
    <xf numFmtId="0" fontId="0" fillId="6" borderId="51" xfId="0" applyFill="1" applyBorder="1" applyAlignment="1" applyProtection="1">
      <alignment horizontal="center" vertical="center" wrapText="1"/>
      <protection locked="0"/>
    </xf>
    <xf numFmtId="0" fontId="0" fillId="6" borderId="53" xfId="0" applyFill="1" applyBorder="1" applyAlignment="1" applyProtection="1">
      <alignment horizontal="center" vertical="center" wrapText="1"/>
      <protection locked="0"/>
    </xf>
    <xf numFmtId="0" fontId="0" fillId="6" borderId="58" xfId="0" applyFill="1" applyBorder="1" applyAlignment="1" applyProtection="1">
      <alignment horizontal="center" vertical="center" wrapText="1"/>
      <protection locked="0"/>
    </xf>
    <xf numFmtId="0" fontId="0" fillId="6" borderId="39" xfId="0" applyFill="1" applyBorder="1" applyAlignment="1" applyProtection="1">
      <alignment horizontal="center" vertical="center" wrapText="1"/>
      <protection locked="0"/>
    </xf>
    <xf numFmtId="0" fontId="5" fillId="0" borderId="16" xfId="0" applyFont="1" applyBorder="1" applyProtection="1">
      <protection locked="0"/>
    </xf>
    <xf numFmtId="0" fontId="5" fillId="0" borderId="22" xfId="0" applyFont="1" applyBorder="1" applyProtection="1"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8" fillId="0" borderId="27" xfId="0" applyFont="1" applyBorder="1" applyAlignment="1" applyProtection="1">
      <alignment horizontal="center" vertical="center"/>
      <protection locked="0"/>
    </xf>
    <xf numFmtId="0" fontId="34" fillId="0" borderId="9" xfId="0" applyFont="1" applyBorder="1" applyProtection="1">
      <protection locked="0"/>
    </xf>
    <xf numFmtId="0" fontId="34" fillId="0" borderId="12" xfId="0" applyFont="1" applyBorder="1" applyProtection="1">
      <protection locked="0"/>
    </xf>
    <xf numFmtId="0" fontId="7" fillId="0" borderId="29" xfId="0" applyFont="1" applyBorder="1" applyAlignment="1" applyProtection="1">
      <alignment horizontal="left" wrapText="1"/>
      <protection locked="0"/>
    </xf>
    <xf numFmtId="0" fontId="5" fillId="0" borderId="31" xfId="0" applyFont="1" applyBorder="1" applyAlignment="1" applyProtection="1">
      <alignment horizontal="left"/>
      <protection locked="0"/>
    </xf>
    <xf numFmtId="0" fontId="7" fillId="0" borderId="29" xfId="0" applyFont="1" applyBorder="1" applyAlignment="1" applyProtection="1">
      <alignment horizontal="left"/>
      <protection locked="0"/>
    </xf>
    <xf numFmtId="0" fontId="16" fillId="0" borderId="30" xfId="0" applyFont="1" applyBorder="1" applyAlignment="1" applyProtection="1">
      <alignment horizontal="left"/>
      <protection locked="0"/>
    </xf>
    <xf numFmtId="0" fontId="16" fillId="0" borderId="31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center"/>
      <protection locked="0"/>
    </xf>
    <xf numFmtId="0" fontId="8" fillId="0" borderId="18" xfId="0" applyFont="1" applyBorder="1" applyAlignment="1" applyProtection="1">
      <alignment horizont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34" fillId="0" borderId="55" xfId="0" applyFont="1" applyBorder="1" applyProtection="1">
      <protection locked="0"/>
    </xf>
    <xf numFmtId="0" fontId="8" fillId="0" borderId="17" xfId="0" applyFont="1" applyBorder="1" applyAlignment="1" applyProtection="1">
      <alignment horizontal="center"/>
      <protection locked="0"/>
    </xf>
    <xf numFmtId="0" fontId="34" fillId="0" borderId="21" xfId="0" applyFont="1" applyBorder="1" applyProtection="1">
      <protection locked="0"/>
    </xf>
    <xf numFmtId="0" fontId="24" fillId="0" borderId="27" xfId="0" applyFont="1" applyBorder="1" applyAlignment="1" applyProtection="1">
      <alignment horizontal="center" vertical="center"/>
      <protection locked="0"/>
    </xf>
    <xf numFmtId="0" fontId="25" fillId="0" borderId="9" xfId="0" applyFont="1" applyBorder="1" applyProtection="1">
      <protection locked="0"/>
    </xf>
    <xf numFmtId="0" fontId="25" fillId="0" borderId="12" xfId="0" applyFont="1" applyBorder="1" applyProtection="1">
      <protection locked="0"/>
    </xf>
    <xf numFmtId="0" fontId="5" fillId="0" borderId="33" xfId="0" applyFont="1" applyBorder="1" applyProtection="1">
      <protection locked="0"/>
    </xf>
    <xf numFmtId="0" fontId="24" fillId="0" borderId="47" xfId="0" applyFont="1" applyBorder="1" applyAlignment="1" applyProtection="1">
      <alignment horizontal="center"/>
      <protection locked="0"/>
    </xf>
    <xf numFmtId="0" fontId="24" fillId="0" borderId="18" xfId="0" applyFont="1" applyBorder="1" applyAlignment="1" applyProtection="1">
      <alignment horizontal="center"/>
      <protection locked="0"/>
    </xf>
    <xf numFmtId="0" fontId="28" fillId="0" borderId="21" xfId="0" applyFont="1" applyBorder="1" applyAlignment="1" applyProtection="1">
      <alignment horizontal="center"/>
      <protection locked="0"/>
    </xf>
    <xf numFmtId="0" fontId="25" fillId="0" borderId="55" xfId="0" applyFont="1" applyBorder="1" applyProtection="1">
      <protection locked="0"/>
    </xf>
    <xf numFmtId="0" fontId="24" fillId="0" borderId="17" xfId="0" applyFont="1" applyBorder="1" applyAlignment="1" applyProtection="1">
      <alignment horizontal="center"/>
      <protection locked="0"/>
    </xf>
    <xf numFmtId="0" fontId="25" fillId="0" borderId="21" xfId="0" applyFont="1" applyBorder="1" applyProtection="1">
      <protection locked="0"/>
    </xf>
    <xf numFmtId="0" fontId="7" fillId="0" borderId="29" xfId="0" applyFont="1" applyBorder="1" applyAlignment="1" applyProtection="1">
      <alignment vertical="top" wrapText="1"/>
      <protection locked="0"/>
    </xf>
    <xf numFmtId="0" fontId="5" fillId="0" borderId="31" xfId="0" applyFont="1" applyBorder="1" applyAlignment="1" applyProtection="1">
      <alignment vertical="top"/>
      <protection locked="0"/>
    </xf>
    <xf numFmtId="0" fontId="35" fillId="0" borderId="27" xfId="0" applyFont="1" applyBorder="1" applyAlignment="1" applyProtection="1">
      <alignment horizontal="center" vertical="center"/>
      <protection locked="0"/>
    </xf>
    <xf numFmtId="0" fontId="31" fillId="0" borderId="9" xfId="0" applyFont="1" applyBorder="1" applyProtection="1">
      <protection locked="0"/>
    </xf>
    <xf numFmtId="0" fontId="5" fillId="3" borderId="40" xfId="0" applyFont="1" applyFill="1" applyBorder="1" applyAlignment="1" applyProtection="1">
      <alignment textRotation="90" wrapText="1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164" fontId="9" fillId="0" borderId="67" xfId="0" applyNumberFormat="1" applyFont="1" applyBorder="1" applyAlignment="1">
      <alignment horizontal="center" vertical="center"/>
    </xf>
    <xf numFmtId="164" fontId="9" fillId="0" borderId="68" xfId="0" applyNumberFormat="1" applyFont="1" applyBorder="1" applyAlignment="1">
      <alignment horizontal="center" vertical="center"/>
    </xf>
    <xf numFmtId="164" fontId="9" fillId="0" borderId="65" xfId="0" applyNumberFormat="1" applyFont="1" applyBorder="1" applyAlignment="1">
      <alignment horizontal="center" vertical="center"/>
    </xf>
    <xf numFmtId="0" fontId="17" fillId="4" borderId="23" xfId="0" applyFont="1" applyFill="1" applyBorder="1" applyAlignment="1" applyProtection="1">
      <alignment horizontal="center" vertical="center" textRotation="90" wrapText="1"/>
      <protection locked="0"/>
    </xf>
    <xf numFmtId="0" fontId="13" fillId="7" borderId="23" xfId="0" applyFont="1" applyFill="1" applyBorder="1" applyAlignment="1">
      <alignment horizontal="center" vertical="center" textRotation="90" wrapText="1"/>
    </xf>
    <xf numFmtId="164" fontId="9" fillId="0" borderId="80" xfId="0" applyNumberFormat="1" applyFont="1" applyBorder="1" applyAlignment="1">
      <alignment horizontal="center" vertical="center"/>
    </xf>
    <xf numFmtId="164" fontId="9" fillId="0" borderId="81" xfId="0" applyNumberFormat="1" applyFont="1" applyBorder="1" applyAlignment="1">
      <alignment horizontal="center" vertical="center"/>
    </xf>
    <xf numFmtId="164" fontId="9" fillId="0" borderId="82" xfId="0" applyNumberFormat="1" applyFont="1" applyBorder="1" applyAlignment="1">
      <alignment horizontal="center" vertical="center"/>
    </xf>
    <xf numFmtId="0" fontId="35" fillId="0" borderId="17" xfId="0" applyFont="1" applyBorder="1" applyAlignment="1" applyProtection="1">
      <alignment horizontal="center"/>
      <protection locked="0"/>
    </xf>
    <xf numFmtId="0" fontId="35" fillId="0" borderId="18" xfId="0" applyFont="1" applyBorder="1" applyAlignment="1" applyProtection="1">
      <alignment horizontal="center"/>
      <protection locked="0"/>
    </xf>
    <xf numFmtId="0" fontId="30" fillId="0" borderId="21" xfId="0" applyFont="1" applyBorder="1" applyAlignment="1" applyProtection="1">
      <alignment horizontal="center"/>
      <protection locked="0"/>
    </xf>
    <xf numFmtId="0" fontId="31" fillId="0" borderId="55" xfId="0" applyFont="1" applyBorder="1" applyProtection="1">
      <protection locked="0"/>
    </xf>
    <xf numFmtId="164" fontId="9" fillId="0" borderId="84" xfId="0" applyNumberFormat="1" applyFont="1" applyBorder="1" applyAlignment="1">
      <alignment horizontal="center" vertical="center"/>
    </xf>
    <xf numFmtId="164" fontId="9" fillId="0" borderId="85" xfId="0" applyNumberFormat="1" applyFont="1" applyBorder="1" applyAlignment="1">
      <alignment horizontal="center" vertical="center"/>
    </xf>
    <xf numFmtId="0" fontId="31" fillId="0" borderId="21" xfId="0" applyFont="1" applyBorder="1" applyProtection="1">
      <protection locked="0"/>
    </xf>
    <xf numFmtId="0" fontId="31" fillId="0" borderId="12" xfId="0" applyFont="1" applyBorder="1" applyProtection="1">
      <protection locked="0"/>
    </xf>
    <xf numFmtId="0" fontId="35" fillId="0" borderId="47" xfId="0" applyFont="1" applyBorder="1" applyAlignment="1" applyProtection="1">
      <alignment horizontal="center"/>
      <protection locked="0"/>
    </xf>
    <xf numFmtId="0" fontId="14" fillId="4" borderId="22" xfId="0" applyFont="1" applyFill="1" applyBorder="1" applyAlignment="1" applyProtection="1">
      <alignment horizontal="center" vertical="center" textRotation="90" wrapText="1"/>
      <protection locked="0"/>
    </xf>
    <xf numFmtId="0" fontId="14" fillId="4" borderId="23" xfId="0" applyFont="1" applyFill="1" applyBorder="1" applyAlignment="1" applyProtection="1">
      <alignment horizontal="center" vertical="center" textRotation="90" wrapText="1"/>
      <protection locked="0"/>
    </xf>
    <xf numFmtId="164" fontId="9" fillId="0" borderId="86" xfId="0" applyNumberFormat="1" applyFont="1" applyBorder="1" applyAlignment="1">
      <alignment horizontal="center" vertical="center"/>
    </xf>
    <xf numFmtId="1" fontId="5" fillId="0" borderId="49" xfId="0" applyNumberFormat="1" applyFont="1" applyBorder="1" applyProtection="1">
      <protection locked="0"/>
    </xf>
    <xf numFmtId="1" fontId="5" fillId="0" borderId="23" xfId="0" applyNumberFormat="1" applyFont="1" applyBorder="1" applyProtection="1">
      <protection locked="0"/>
    </xf>
    <xf numFmtId="1" fontId="5" fillId="0" borderId="57" xfId="0" applyNumberFormat="1" applyFont="1" applyBorder="1" applyProtection="1">
      <protection locked="0"/>
    </xf>
    <xf numFmtId="1" fontId="5" fillId="0" borderId="24" xfId="0" applyNumberFormat="1" applyFont="1" applyBorder="1" applyProtection="1">
      <protection locked="0"/>
    </xf>
    <xf numFmtId="1" fontId="5" fillId="0" borderId="24" xfId="0" applyNumberFormat="1" applyFont="1" applyBorder="1" applyAlignment="1" applyProtection="1">
      <alignment textRotation="90"/>
      <protection locked="0"/>
    </xf>
    <xf numFmtId="0" fontId="13" fillId="7" borderId="22" xfId="0" applyFont="1" applyFill="1" applyBorder="1" applyAlignment="1" applyProtection="1">
      <alignment horizontal="center" vertical="center" textRotation="90" wrapText="1"/>
      <protection locked="0"/>
    </xf>
    <xf numFmtId="0" fontId="13" fillId="7" borderId="23" xfId="0" applyFont="1" applyFill="1" applyBorder="1" applyAlignment="1" applyProtection="1">
      <alignment horizontal="center" vertical="center" textRotation="90" wrapText="1"/>
      <protection locked="0"/>
    </xf>
    <xf numFmtId="0" fontId="7" fillId="0" borderId="89" xfId="0" applyFont="1" applyBorder="1" applyAlignment="1" applyProtection="1">
      <alignment horizontal="center" vertical="center"/>
      <protection locked="0"/>
    </xf>
    <xf numFmtId="0" fontId="5" fillId="0" borderId="89" xfId="0" applyFont="1" applyBorder="1" applyProtection="1">
      <protection locked="0"/>
    </xf>
    <xf numFmtId="0" fontId="5" fillId="0" borderId="90" xfId="0" applyFont="1" applyBorder="1" applyProtection="1">
      <protection locked="0"/>
    </xf>
    <xf numFmtId="0" fontId="7" fillId="0" borderId="91" xfId="0" applyFont="1" applyBorder="1" applyAlignment="1" applyProtection="1">
      <alignment horizontal="center" vertical="center"/>
      <protection locked="0"/>
    </xf>
    <xf numFmtId="0" fontId="5" fillId="0" borderId="74" xfId="0" applyFont="1" applyBorder="1" applyProtection="1">
      <protection locked="0"/>
    </xf>
    <xf numFmtId="0" fontId="5" fillId="0" borderId="92" xfId="0" applyFont="1" applyBorder="1" applyProtection="1">
      <protection locked="0"/>
    </xf>
    <xf numFmtId="0" fontId="15" fillId="2" borderId="18" xfId="0" applyFont="1" applyFill="1" applyBorder="1" applyAlignment="1" applyProtection="1">
      <alignment horizontal="center" vertical="center"/>
      <protection locked="0"/>
    </xf>
    <xf numFmtId="164" fontId="9" fillId="0" borderId="1" xfId="0" applyNumberFormat="1" applyFont="1" applyBorder="1" applyAlignment="1" applyProtection="1">
      <alignment horizontal="center" vertical="center"/>
      <protection locked="0"/>
    </xf>
    <xf numFmtId="164" fontId="9" fillId="0" borderId="2" xfId="0" applyNumberFormat="1" applyFont="1" applyBorder="1" applyAlignment="1" applyProtection="1">
      <alignment horizontal="center" vertical="center"/>
      <protection locked="0"/>
    </xf>
    <xf numFmtId="164" fontId="9" fillId="0" borderId="3" xfId="0" applyNumberFormat="1" applyFont="1" applyBorder="1" applyAlignment="1" applyProtection="1">
      <alignment horizontal="center" vertical="center"/>
      <protection locked="0"/>
    </xf>
    <xf numFmtId="0" fontId="14" fillId="0" borderId="24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0" fillId="0" borderId="40" xfId="0" applyFont="1" applyBorder="1" applyAlignment="1" applyProtection="1">
      <alignment horizontal="center" vertical="center" textRotation="90"/>
      <protection locked="0"/>
    </xf>
    <xf numFmtId="0" fontId="10" fillId="0" borderId="6" xfId="0" applyFont="1" applyBorder="1" applyAlignment="1" applyProtection="1">
      <alignment horizontal="center" vertical="center" textRotation="90"/>
      <protection locked="0"/>
    </xf>
    <xf numFmtId="0" fontId="13" fillId="7" borderId="24" xfId="0" applyFont="1" applyFill="1" applyBorder="1" applyAlignment="1" applyProtection="1">
      <alignment horizontal="center" vertical="center" textRotation="90" wrapText="1"/>
      <protection locked="0"/>
    </xf>
    <xf numFmtId="164" fontId="9" fillId="0" borderId="67" xfId="0" applyNumberFormat="1" applyFont="1" applyBorder="1" applyAlignment="1" applyProtection="1">
      <alignment horizontal="center" vertical="center"/>
      <protection locked="0"/>
    </xf>
    <xf numFmtId="164" fontId="9" fillId="0" borderId="68" xfId="0" applyNumberFormat="1" applyFont="1" applyBorder="1" applyAlignment="1" applyProtection="1">
      <alignment horizontal="center" vertical="center"/>
      <protection locked="0"/>
    </xf>
    <xf numFmtId="164" fontId="9" fillId="0" borderId="65" xfId="0" applyNumberFormat="1" applyFont="1" applyBorder="1" applyAlignment="1" applyProtection="1">
      <alignment horizontal="center" vertical="center"/>
      <protection locked="0"/>
    </xf>
    <xf numFmtId="164" fontId="9" fillId="0" borderId="80" xfId="0" applyNumberFormat="1" applyFont="1" applyBorder="1" applyAlignment="1" applyProtection="1">
      <alignment horizontal="center" vertical="center"/>
      <protection locked="0"/>
    </xf>
    <xf numFmtId="164" fontId="9" fillId="0" borderId="81" xfId="0" applyNumberFormat="1" applyFont="1" applyBorder="1" applyAlignment="1" applyProtection="1">
      <alignment horizontal="center" vertical="center"/>
      <protection locked="0"/>
    </xf>
    <xf numFmtId="164" fontId="9" fillId="0" borderId="82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18" xfId="0" applyFont="1" applyBorder="1" applyAlignment="1" applyProtection="1">
      <alignment horizontal="center"/>
      <protection locked="0"/>
    </xf>
    <xf numFmtId="0" fontId="7" fillId="0" borderId="47" xfId="0" applyFont="1" applyBorder="1" applyAlignment="1" applyProtection="1">
      <alignment horizontal="center"/>
      <protection locked="0"/>
    </xf>
    <xf numFmtId="164" fontId="9" fillId="0" borderId="84" xfId="0" applyNumberFormat="1" applyFont="1" applyBorder="1" applyAlignment="1" applyProtection="1">
      <alignment horizontal="center" vertical="center"/>
      <protection locked="0"/>
    </xf>
    <xf numFmtId="164" fontId="9" fillId="0" borderId="85" xfId="0" applyNumberFormat="1" applyFont="1" applyBorder="1" applyAlignment="1" applyProtection="1">
      <alignment horizontal="center" vertical="center"/>
      <protection locked="0"/>
    </xf>
    <xf numFmtId="0" fontId="14" fillId="0" borderId="46" xfId="0" applyFont="1" applyBorder="1" applyAlignment="1" applyProtection="1">
      <alignment horizontal="center" wrapText="1"/>
      <protection locked="0"/>
    </xf>
    <xf numFmtId="0" fontId="14" fillId="0" borderId="48" xfId="0" applyFont="1" applyBorder="1" applyAlignment="1" applyProtection="1">
      <alignment horizontal="center" wrapText="1"/>
      <protection locked="0"/>
    </xf>
    <xf numFmtId="0" fontId="14" fillId="0" borderId="87" xfId="0" applyFont="1" applyBorder="1" applyAlignment="1" applyProtection="1">
      <alignment horizontal="center" wrapText="1"/>
      <protection locked="0"/>
    </xf>
    <xf numFmtId="0" fontId="14" fillId="0" borderId="54" xfId="0" applyFont="1" applyBorder="1" applyAlignment="1" applyProtection="1">
      <alignment horizontal="center" wrapText="1"/>
      <protection locked="0"/>
    </xf>
    <xf numFmtId="0" fontId="14" fillId="0" borderId="56" xfId="0" applyFont="1" applyBorder="1" applyAlignment="1" applyProtection="1">
      <alignment horizontal="center" wrapText="1"/>
      <protection locked="0"/>
    </xf>
    <xf numFmtId="0" fontId="14" fillId="0" borderId="88" xfId="0" applyFont="1" applyBorder="1" applyAlignment="1" applyProtection="1">
      <alignment horizontal="center" wrapText="1"/>
      <protection locked="0"/>
    </xf>
    <xf numFmtId="0" fontId="8" fillId="0" borderId="18" xfId="0" applyFont="1" applyBorder="1" applyAlignment="1" applyProtection="1">
      <alignment horizontal="center" vertical="center" wrapText="1"/>
      <protection locked="0"/>
    </xf>
    <xf numFmtId="164" fontId="9" fillId="0" borderId="86" xfId="0" applyNumberFormat="1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 2 3" xfId="3" xr:uid="{00000000-0005-0000-0000-000003000000}"/>
  </cellStyles>
  <dxfs count="13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microsoft.com/office/2017/10/relationships/person" Target="persons/person0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2142259</xdr:colOff>
      <xdr:row>0</xdr:row>
      <xdr:rowOff>409574</xdr:rowOff>
    </xdr:from>
    <xdr:ext cx="4238625" cy="5334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58736" y="40957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96981</xdr:colOff>
      <xdr:row>0</xdr:row>
      <xdr:rowOff>77066</xdr:rowOff>
    </xdr:from>
    <xdr:ext cx="864177" cy="996661"/>
    <xdr:grpSp>
      <xdr:nvGrpSpPr>
        <xdr:cNvPr id="4" name="Shape 4" title="Dibuj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35106" y="77066"/>
          <a:ext cx="864177" cy="996661"/>
          <a:chOff x="152400" y="152400"/>
          <a:chExt cx="914400" cy="1095375"/>
        </a:xfrm>
      </xdr:grpSpPr>
      <xdr:pic>
        <xdr:nvPic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twoCellAnchor editAs="oneCell">
    <xdr:from>
      <xdr:col>1</xdr:col>
      <xdr:colOff>164523</xdr:colOff>
      <xdr:row>52</xdr:row>
      <xdr:rowOff>102226</xdr:rowOff>
    </xdr:from>
    <xdr:to>
      <xdr:col>3</xdr:col>
      <xdr:colOff>77931</xdr:colOff>
      <xdr:row>54</xdr:row>
      <xdr:rowOff>623099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1670771"/>
          <a:ext cx="2545772" cy="919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2142259</xdr:colOff>
      <xdr:row>57</xdr:row>
      <xdr:rowOff>0</xdr:rowOff>
    </xdr:from>
    <xdr:ext cx="4238625" cy="5334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58736" y="40957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55</xdr:row>
      <xdr:rowOff>409574</xdr:rowOff>
    </xdr:from>
    <xdr:ext cx="4238625" cy="5334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358736" y="40957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55</xdr:row>
      <xdr:rowOff>77067</xdr:rowOff>
    </xdr:from>
    <xdr:ext cx="857250" cy="990600"/>
    <xdr:grpSp>
      <xdr:nvGrpSpPr>
        <xdr:cNvPr id="14" name="Shape 4" title="Dibuj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335107" y="12831042"/>
          <a:ext cx="857250" cy="990600"/>
          <a:chOff x="152400" y="152400"/>
          <a:chExt cx="914400" cy="1095375"/>
        </a:xfrm>
      </xdr:grpSpPr>
      <xdr:pic>
        <xdr:nvPicPr>
          <xdr:cNvPr id="15" name="Shape 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34637</xdr:colOff>
      <xdr:row>106</xdr:row>
      <xdr:rowOff>50271</xdr:rowOff>
    </xdr:from>
    <xdr:ext cx="2545772" cy="919192"/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114" y="12017135"/>
          <a:ext cx="2545772" cy="919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2142259</xdr:colOff>
      <xdr:row>0</xdr:row>
      <xdr:rowOff>409574</xdr:rowOff>
    </xdr:from>
    <xdr:ext cx="4238625" cy="5334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361334" y="40957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0</xdr:row>
      <xdr:rowOff>77067</xdr:rowOff>
    </xdr:from>
    <xdr:ext cx="857250" cy="990600"/>
    <xdr:grpSp>
      <xdr:nvGrpSpPr>
        <xdr:cNvPr id="3" name="Shape 4" title="Dibuj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335107" y="77067"/>
          <a:ext cx="857250" cy="990600"/>
          <a:chOff x="152400" y="152400"/>
          <a:chExt cx="914400" cy="1095375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twoCellAnchor editAs="oneCell">
    <xdr:from>
      <xdr:col>1</xdr:col>
      <xdr:colOff>51955</xdr:colOff>
      <xdr:row>53</xdr:row>
      <xdr:rowOff>24293</xdr:rowOff>
    </xdr:from>
    <xdr:to>
      <xdr:col>1</xdr:col>
      <xdr:colOff>2597727</xdr:colOff>
      <xdr:row>54</xdr:row>
      <xdr:rowOff>744325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432" y="11791998"/>
          <a:ext cx="2545772" cy="919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2142259</xdr:colOff>
      <xdr:row>57</xdr:row>
      <xdr:rowOff>0</xdr:rowOff>
    </xdr:from>
    <xdr:ext cx="4238625" cy="5334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361334" y="14068425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55</xdr:row>
      <xdr:rowOff>409574</xdr:rowOff>
    </xdr:from>
    <xdr:ext cx="4238625" cy="5334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361334" y="13163549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55</xdr:row>
      <xdr:rowOff>77067</xdr:rowOff>
    </xdr:from>
    <xdr:ext cx="857250" cy="990600"/>
    <xdr:grpSp>
      <xdr:nvGrpSpPr>
        <xdr:cNvPr id="9" name="Shape 4" title="Dibuj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335107" y="12745317"/>
          <a:ext cx="857250" cy="990600"/>
          <a:chOff x="152400" y="152400"/>
          <a:chExt cx="914400" cy="1095375"/>
        </a:xfrm>
      </xdr:grpSpPr>
      <xdr:pic>
        <xdr:nvPicPr>
          <xdr:cNvPr id="10" name="Shape 5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34637</xdr:colOff>
      <xdr:row>106</xdr:row>
      <xdr:rowOff>50271</xdr:rowOff>
    </xdr:from>
    <xdr:ext cx="2545772" cy="919192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712" y="24796221"/>
          <a:ext cx="2545772" cy="919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108</xdr:row>
      <xdr:rowOff>0</xdr:rowOff>
    </xdr:from>
    <xdr:ext cx="4238625" cy="5334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358736" y="14045045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108</xdr:row>
      <xdr:rowOff>409574</xdr:rowOff>
    </xdr:from>
    <xdr:ext cx="4238625" cy="53340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358736" y="40957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108</xdr:row>
      <xdr:rowOff>77067</xdr:rowOff>
    </xdr:from>
    <xdr:ext cx="857250" cy="990600"/>
    <xdr:grpSp>
      <xdr:nvGrpSpPr>
        <xdr:cNvPr id="25" name="Shape 4" title="Dibujo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pSpPr/>
      </xdr:nvGrpSpPr>
      <xdr:grpSpPr>
        <a:xfrm>
          <a:off x="335107" y="25346892"/>
          <a:ext cx="857250" cy="990600"/>
          <a:chOff x="152400" y="152400"/>
          <a:chExt cx="914400" cy="1095375"/>
        </a:xfrm>
      </xdr:grpSpPr>
      <xdr:pic>
        <xdr:nvPicPr>
          <xdr:cNvPr id="26" name="Shape 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159</xdr:row>
      <xdr:rowOff>25978</xdr:rowOff>
    </xdr:from>
    <xdr:ext cx="2545772" cy="736023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409" y="37182137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1780309</xdr:colOff>
      <xdr:row>0</xdr:row>
      <xdr:rowOff>200024</xdr:rowOff>
    </xdr:from>
    <xdr:ext cx="4238625" cy="5334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99384" y="20002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0</xdr:row>
      <xdr:rowOff>77067</xdr:rowOff>
    </xdr:from>
    <xdr:ext cx="857250" cy="990600"/>
    <xdr:grpSp>
      <xdr:nvGrpSpPr>
        <xdr:cNvPr id="3" name="Shape 4" title="Dibuj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316057" y="77067"/>
          <a:ext cx="857250" cy="990600"/>
          <a:chOff x="152400" y="152400"/>
          <a:chExt cx="914400" cy="1095375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twoCellAnchor editAs="oneCell">
    <xdr:from>
      <xdr:col>1</xdr:col>
      <xdr:colOff>51955</xdr:colOff>
      <xdr:row>53</xdr:row>
      <xdr:rowOff>24293</xdr:rowOff>
    </xdr:from>
    <xdr:to>
      <xdr:col>1</xdr:col>
      <xdr:colOff>2597727</xdr:colOff>
      <xdr:row>54</xdr:row>
      <xdr:rowOff>744326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030" y="11816243"/>
          <a:ext cx="2545772" cy="92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2142259</xdr:colOff>
      <xdr:row>57</xdr:row>
      <xdr:rowOff>0</xdr:rowOff>
    </xdr:from>
    <xdr:ext cx="4238625" cy="5334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361334" y="14068425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1780309</xdr:colOff>
      <xdr:row>55</xdr:row>
      <xdr:rowOff>238124</xdr:rowOff>
    </xdr:from>
    <xdr:ext cx="4238625" cy="5334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999384" y="12992099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55</xdr:row>
      <xdr:rowOff>77067</xdr:rowOff>
    </xdr:from>
    <xdr:ext cx="857250" cy="990600"/>
    <xdr:grpSp>
      <xdr:nvGrpSpPr>
        <xdr:cNvPr id="9" name="Shape 4" title="Dibuj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316057" y="12831042"/>
          <a:ext cx="857250" cy="990600"/>
          <a:chOff x="152400" y="152400"/>
          <a:chExt cx="914400" cy="1095375"/>
        </a:xfrm>
      </xdr:grpSpPr>
      <xdr:pic>
        <xdr:nvPicPr>
          <xdr:cNvPr id="10" name="Shape 5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34637</xdr:colOff>
      <xdr:row>106</xdr:row>
      <xdr:rowOff>50271</xdr:rowOff>
    </xdr:from>
    <xdr:ext cx="2545772" cy="919192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712" y="24796221"/>
          <a:ext cx="2545772" cy="919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108</xdr:row>
      <xdr:rowOff>0</xdr:rowOff>
    </xdr:from>
    <xdr:ext cx="4238625" cy="5334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361334" y="25955625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1685059</xdr:colOff>
      <xdr:row>108</xdr:row>
      <xdr:rowOff>238124</xdr:rowOff>
    </xdr:from>
    <xdr:ext cx="4238625" cy="53340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904134" y="26193749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108</xdr:row>
      <xdr:rowOff>77067</xdr:rowOff>
    </xdr:from>
    <xdr:ext cx="857250" cy="961158"/>
    <xdr:grpSp>
      <xdr:nvGrpSpPr>
        <xdr:cNvPr id="15" name="Shape 4" title="Dibujo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pSpPr/>
      </xdr:nvGrpSpPr>
      <xdr:grpSpPr>
        <a:xfrm>
          <a:off x="316057" y="25432617"/>
          <a:ext cx="857250" cy="961158"/>
          <a:chOff x="152400" y="152400"/>
          <a:chExt cx="914400" cy="1095375"/>
        </a:xfrm>
      </xdr:grpSpPr>
      <xdr:pic>
        <xdr:nvPicPr>
          <xdr:cNvPr id="16" name="Shape 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159</xdr:row>
      <xdr:rowOff>25978</xdr:rowOff>
    </xdr:from>
    <xdr:ext cx="2545772" cy="736023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007" y="37268728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164</xdr:row>
      <xdr:rowOff>0</xdr:rowOff>
    </xdr:from>
    <xdr:ext cx="4238625" cy="53340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358736" y="25908000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164</xdr:row>
      <xdr:rowOff>409574</xdr:rowOff>
    </xdr:from>
    <xdr:ext cx="4238625" cy="53340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358736" y="2631757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164</xdr:row>
      <xdr:rowOff>77067</xdr:rowOff>
    </xdr:from>
    <xdr:ext cx="857250" cy="923058"/>
    <xdr:grpSp>
      <xdr:nvGrpSpPr>
        <xdr:cNvPr id="21" name="Shape 4" title="Dibujo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316057" y="37719867"/>
          <a:ext cx="857250" cy="923058"/>
          <a:chOff x="152400" y="152400"/>
          <a:chExt cx="914400" cy="1095375"/>
        </a:xfrm>
      </xdr:grpSpPr>
      <xdr:pic>
        <xdr:nvPicPr>
          <xdr:cNvPr id="22" name="Shape 5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215</xdr:row>
      <xdr:rowOff>25978</xdr:rowOff>
    </xdr:from>
    <xdr:ext cx="2545772" cy="736023"/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409" y="37182137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2142259</xdr:colOff>
      <xdr:row>0</xdr:row>
      <xdr:rowOff>409574</xdr:rowOff>
    </xdr:from>
    <xdr:ext cx="4238625" cy="5334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361334" y="40957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0</xdr:row>
      <xdr:rowOff>77067</xdr:rowOff>
    </xdr:from>
    <xdr:ext cx="857250" cy="990600"/>
    <xdr:grpSp>
      <xdr:nvGrpSpPr>
        <xdr:cNvPr id="3" name="Shape 4" title="Dibuj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321100" y="77067"/>
          <a:ext cx="857250" cy="990600"/>
          <a:chOff x="152400" y="152400"/>
          <a:chExt cx="914400" cy="1095375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twoCellAnchor editAs="oneCell">
    <xdr:from>
      <xdr:col>1</xdr:col>
      <xdr:colOff>51955</xdr:colOff>
      <xdr:row>53</xdr:row>
      <xdr:rowOff>24293</xdr:rowOff>
    </xdr:from>
    <xdr:to>
      <xdr:col>1</xdr:col>
      <xdr:colOff>2597727</xdr:colOff>
      <xdr:row>54</xdr:row>
      <xdr:rowOff>744326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030" y="11816243"/>
          <a:ext cx="2545772" cy="92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2142259</xdr:colOff>
      <xdr:row>57</xdr:row>
      <xdr:rowOff>0</xdr:rowOff>
    </xdr:from>
    <xdr:ext cx="4238625" cy="5334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361334" y="14068425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55</xdr:row>
      <xdr:rowOff>409574</xdr:rowOff>
    </xdr:from>
    <xdr:ext cx="4238625" cy="5334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361334" y="13163549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55</xdr:row>
      <xdr:rowOff>77067</xdr:rowOff>
    </xdr:from>
    <xdr:ext cx="857250" cy="990600"/>
    <xdr:grpSp>
      <xdr:nvGrpSpPr>
        <xdr:cNvPr id="9" name="Shape 4" title="Dibuj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321100" y="12885391"/>
          <a:ext cx="857250" cy="990600"/>
          <a:chOff x="152400" y="152400"/>
          <a:chExt cx="914400" cy="1095375"/>
        </a:xfrm>
      </xdr:grpSpPr>
      <xdr:pic>
        <xdr:nvPicPr>
          <xdr:cNvPr id="10" name="Shape 5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34637</xdr:colOff>
      <xdr:row>106</xdr:row>
      <xdr:rowOff>50271</xdr:rowOff>
    </xdr:from>
    <xdr:ext cx="2545772" cy="919192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712" y="24796221"/>
          <a:ext cx="2545772" cy="919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108</xdr:row>
      <xdr:rowOff>0</xdr:rowOff>
    </xdr:from>
    <xdr:ext cx="4238625" cy="5334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361334" y="25955625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108</xdr:row>
      <xdr:rowOff>409574</xdr:rowOff>
    </xdr:from>
    <xdr:ext cx="4238625" cy="53340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361334" y="26365199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108</xdr:row>
      <xdr:rowOff>77067</xdr:rowOff>
    </xdr:from>
    <xdr:ext cx="857250" cy="990600"/>
    <xdr:grpSp>
      <xdr:nvGrpSpPr>
        <xdr:cNvPr id="15" name="Shape 4" title="Dibujo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pSpPr/>
      </xdr:nvGrpSpPr>
      <xdr:grpSpPr>
        <a:xfrm>
          <a:off x="321100" y="25536832"/>
          <a:ext cx="857250" cy="990600"/>
          <a:chOff x="152400" y="152400"/>
          <a:chExt cx="914400" cy="1095375"/>
        </a:xfrm>
      </xdr:grpSpPr>
      <xdr:pic>
        <xdr:nvPicPr>
          <xdr:cNvPr id="16" name="Shape 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159</xdr:row>
      <xdr:rowOff>25978</xdr:rowOff>
    </xdr:from>
    <xdr:ext cx="2545772" cy="736023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007" y="37268728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166</xdr:row>
      <xdr:rowOff>0</xdr:rowOff>
    </xdr:from>
    <xdr:ext cx="4238625" cy="53340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361334" y="39243000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166</xdr:row>
      <xdr:rowOff>409574</xdr:rowOff>
    </xdr:from>
    <xdr:ext cx="4238625" cy="53340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361334" y="3965257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166</xdr:row>
      <xdr:rowOff>77067</xdr:rowOff>
    </xdr:from>
    <xdr:ext cx="857250" cy="990600"/>
    <xdr:grpSp>
      <xdr:nvGrpSpPr>
        <xdr:cNvPr id="21" name="Shape 4" title="Dibujo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pSpPr/>
      </xdr:nvGrpSpPr>
      <xdr:grpSpPr>
        <a:xfrm>
          <a:off x="321100" y="38311538"/>
          <a:ext cx="857250" cy="990600"/>
          <a:chOff x="152400" y="152400"/>
          <a:chExt cx="914400" cy="1095375"/>
        </a:xfrm>
      </xdr:grpSpPr>
      <xdr:pic>
        <xdr:nvPicPr>
          <xdr:cNvPr id="22" name="Shape 5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217</xdr:row>
      <xdr:rowOff>25978</xdr:rowOff>
    </xdr:from>
    <xdr:ext cx="2545772" cy="736023"/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007" y="50556103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2142259</xdr:colOff>
      <xdr:row>0</xdr:row>
      <xdr:rowOff>409574</xdr:rowOff>
    </xdr:from>
    <xdr:ext cx="4238625" cy="5334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361334" y="40957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0</xdr:row>
      <xdr:rowOff>77067</xdr:rowOff>
    </xdr:from>
    <xdr:ext cx="857250" cy="990600"/>
    <xdr:grpSp>
      <xdr:nvGrpSpPr>
        <xdr:cNvPr id="3" name="Shape 4" title="Dibuj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314696" y="77067"/>
          <a:ext cx="857250" cy="990600"/>
          <a:chOff x="152400" y="152400"/>
          <a:chExt cx="914400" cy="1095375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twoCellAnchor editAs="oneCell">
    <xdr:from>
      <xdr:col>1</xdr:col>
      <xdr:colOff>51955</xdr:colOff>
      <xdr:row>53</xdr:row>
      <xdr:rowOff>24293</xdr:rowOff>
    </xdr:from>
    <xdr:to>
      <xdr:col>1</xdr:col>
      <xdr:colOff>2597727</xdr:colOff>
      <xdr:row>54</xdr:row>
      <xdr:rowOff>744326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030" y="11816243"/>
          <a:ext cx="2545772" cy="92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2142259</xdr:colOff>
      <xdr:row>57</xdr:row>
      <xdr:rowOff>0</xdr:rowOff>
    </xdr:from>
    <xdr:ext cx="4238625" cy="5334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361334" y="14068425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55</xdr:row>
      <xdr:rowOff>409574</xdr:rowOff>
    </xdr:from>
    <xdr:ext cx="4238625" cy="5334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361334" y="13163549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55</xdr:row>
      <xdr:rowOff>77067</xdr:rowOff>
    </xdr:from>
    <xdr:ext cx="857250" cy="990600"/>
    <xdr:grpSp>
      <xdr:nvGrpSpPr>
        <xdr:cNvPr id="9" name="Shape 4" title="Dibujo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/>
      </xdr:nvGrpSpPr>
      <xdr:grpSpPr>
        <a:xfrm>
          <a:off x="314696" y="12976638"/>
          <a:ext cx="857250" cy="990600"/>
          <a:chOff x="152400" y="152400"/>
          <a:chExt cx="914400" cy="1095375"/>
        </a:xfrm>
      </xdr:grpSpPr>
      <xdr:pic>
        <xdr:nvPicPr>
          <xdr:cNvPr id="10" name="Shape 5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34637</xdr:colOff>
      <xdr:row>107</xdr:row>
      <xdr:rowOff>50271</xdr:rowOff>
    </xdr:from>
    <xdr:ext cx="2545772" cy="919192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712" y="24796221"/>
          <a:ext cx="2545772" cy="919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108</xdr:row>
      <xdr:rowOff>0</xdr:rowOff>
    </xdr:from>
    <xdr:ext cx="4238625" cy="5334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2361334" y="25955625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108</xdr:row>
      <xdr:rowOff>409574</xdr:rowOff>
    </xdr:from>
    <xdr:ext cx="4238625" cy="53340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361334" y="26365199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108</xdr:row>
      <xdr:rowOff>77067</xdr:rowOff>
    </xdr:from>
    <xdr:ext cx="857250" cy="990600"/>
    <xdr:grpSp>
      <xdr:nvGrpSpPr>
        <xdr:cNvPr id="15" name="Shape 4" title="Dibujo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pSpPr/>
      </xdr:nvGrpSpPr>
      <xdr:grpSpPr>
        <a:xfrm>
          <a:off x="314696" y="25699317"/>
          <a:ext cx="857250" cy="990600"/>
          <a:chOff x="152400" y="152400"/>
          <a:chExt cx="914400" cy="1095375"/>
        </a:xfrm>
      </xdr:grpSpPr>
      <xdr:pic>
        <xdr:nvPicPr>
          <xdr:cNvPr id="16" name="Shape 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159</xdr:row>
      <xdr:rowOff>25978</xdr:rowOff>
    </xdr:from>
    <xdr:ext cx="2545772" cy="736023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007" y="37268728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166</xdr:row>
      <xdr:rowOff>0</xdr:rowOff>
    </xdr:from>
    <xdr:ext cx="4238625" cy="53340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61334" y="39243000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166</xdr:row>
      <xdr:rowOff>409574</xdr:rowOff>
    </xdr:from>
    <xdr:ext cx="4238625" cy="53340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2361334" y="3965257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166</xdr:row>
      <xdr:rowOff>77067</xdr:rowOff>
    </xdr:from>
    <xdr:ext cx="857250" cy="990600"/>
    <xdr:grpSp>
      <xdr:nvGrpSpPr>
        <xdr:cNvPr id="21" name="Shape 4" title="Dibujo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pSpPr/>
      </xdr:nvGrpSpPr>
      <xdr:grpSpPr>
        <a:xfrm>
          <a:off x="314696" y="38612496"/>
          <a:ext cx="857250" cy="990600"/>
          <a:chOff x="152400" y="152400"/>
          <a:chExt cx="914400" cy="1095375"/>
        </a:xfrm>
      </xdr:grpSpPr>
      <xdr:pic>
        <xdr:nvPicPr>
          <xdr:cNvPr id="22" name="Shape 5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217</xdr:row>
      <xdr:rowOff>25978</xdr:rowOff>
    </xdr:from>
    <xdr:ext cx="2545772" cy="736023"/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007" y="50556103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224</xdr:row>
      <xdr:rowOff>0</xdr:rowOff>
    </xdr:from>
    <xdr:ext cx="4238625" cy="53340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2358736" y="39147750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224</xdr:row>
      <xdr:rowOff>409574</xdr:rowOff>
    </xdr:from>
    <xdr:ext cx="4238625" cy="53340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2358736" y="3955732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224</xdr:row>
      <xdr:rowOff>77067</xdr:rowOff>
    </xdr:from>
    <xdr:ext cx="857250" cy="990600"/>
    <xdr:grpSp>
      <xdr:nvGrpSpPr>
        <xdr:cNvPr id="27" name="Shape 4" title="Dibujo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pSpPr/>
      </xdr:nvGrpSpPr>
      <xdr:grpSpPr>
        <a:xfrm>
          <a:off x="314696" y="51525674"/>
          <a:ext cx="857250" cy="990600"/>
          <a:chOff x="152400" y="152400"/>
          <a:chExt cx="914400" cy="1095375"/>
        </a:xfrm>
      </xdr:grpSpPr>
      <xdr:pic>
        <xdr:nvPicPr>
          <xdr:cNvPr id="28" name="Shape 5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275</xdr:row>
      <xdr:rowOff>25978</xdr:rowOff>
    </xdr:from>
    <xdr:ext cx="2545772" cy="736023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409" y="50421887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282</xdr:row>
      <xdr:rowOff>0</xdr:rowOff>
    </xdr:from>
    <xdr:ext cx="4238625" cy="53340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9BB402C6-E3C8-4A25-AC58-DB41C443B47F}"/>
            </a:ext>
          </a:extLst>
        </xdr:cNvPr>
        <xdr:cNvSpPr/>
      </xdr:nvSpPr>
      <xdr:spPr>
        <a:xfrm>
          <a:off x="2361334" y="52530375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1761259</xdr:colOff>
      <xdr:row>282</xdr:row>
      <xdr:rowOff>114299</xdr:rowOff>
    </xdr:from>
    <xdr:ext cx="4238625" cy="53340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936C9069-D39C-4EFD-954D-278343CC54FF}"/>
            </a:ext>
          </a:extLst>
        </xdr:cNvPr>
        <xdr:cNvSpPr/>
      </xdr:nvSpPr>
      <xdr:spPr>
        <a:xfrm>
          <a:off x="1980334" y="6533197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106507</xdr:colOff>
      <xdr:row>282</xdr:row>
      <xdr:rowOff>29442</xdr:rowOff>
    </xdr:from>
    <xdr:ext cx="684068" cy="684933"/>
    <xdr:grpSp>
      <xdr:nvGrpSpPr>
        <xdr:cNvPr id="33" name="Shape 4" title="Dibujo">
          <a:extLst>
            <a:ext uri="{FF2B5EF4-FFF2-40B4-BE49-F238E27FC236}">
              <a16:creationId xmlns:a16="http://schemas.microsoft.com/office/drawing/2014/main" id="{924F3059-C194-4F99-8E27-D9BAAB6AF08A}"/>
            </a:ext>
          </a:extLst>
        </xdr:cNvPr>
        <xdr:cNvGrpSpPr/>
      </xdr:nvGrpSpPr>
      <xdr:grpSpPr>
        <a:xfrm>
          <a:off x="324221" y="64200728"/>
          <a:ext cx="684068" cy="684933"/>
          <a:chOff x="152400" y="152400"/>
          <a:chExt cx="914400" cy="1095375"/>
        </a:xfrm>
      </xdr:grpSpPr>
      <xdr:pic>
        <xdr:nvPicPr>
          <xdr:cNvPr id="34" name="Shape 5">
            <a:extLst>
              <a:ext uri="{FF2B5EF4-FFF2-40B4-BE49-F238E27FC236}">
                <a16:creationId xmlns:a16="http://schemas.microsoft.com/office/drawing/2014/main" id="{39240E81-6AAD-043A-7E74-1EE2C1E640FC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333</xdr:row>
      <xdr:rowOff>25978</xdr:rowOff>
    </xdr:from>
    <xdr:ext cx="2545772" cy="736023"/>
    <xdr:pic>
      <xdr:nvPicPr>
        <xdr:cNvPr id="35" name="Imagen 34">
          <a:extLst>
            <a:ext uri="{FF2B5EF4-FFF2-40B4-BE49-F238E27FC236}">
              <a16:creationId xmlns:a16="http://schemas.microsoft.com/office/drawing/2014/main" id="{35FEC7DA-B6E0-40F4-BA6B-4E93CE731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007" y="63843478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2142259</xdr:colOff>
      <xdr:row>0</xdr:row>
      <xdr:rowOff>409574</xdr:rowOff>
    </xdr:from>
    <xdr:ext cx="4238625" cy="5334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361334" y="40957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0</xdr:row>
      <xdr:rowOff>77067</xdr:rowOff>
    </xdr:from>
    <xdr:ext cx="857250" cy="990600"/>
    <xdr:grpSp>
      <xdr:nvGrpSpPr>
        <xdr:cNvPr id="3" name="Shape 4" title="Dibuj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314696" y="77067"/>
          <a:ext cx="857250" cy="990600"/>
          <a:chOff x="152400" y="152400"/>
          <a:chExt cx="914400" cy="1095375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twoCellAnchor editAs="oneCell">
    <xdr:from>
      <xdr:col>1</xdr:col>
      <xdr:colOff>51955</xdr:colOff>
      <xdr:row>50</xdr:row>
      <xdr:rowOff>24293</xdr:rowOff>
    </xdr:from>
    <xdr:to>
      <xdr:col>1</xdr:col>
      <xdr:colOff>2597727</xdr:colOff>
      <xdr:row>51</xdr:row>
      <xdr:rowOff>744325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030" y="11816243"/>
          <a:ext cx="2545772" cy="92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2142259</xdr:colOff>
      <xdr:row>54</xdr:row>
      <xdr:rowOff>0</xdr:rowOff>
    </xdr:from>
    <xdr:ext cx="4238625" cy="5334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2361334" y="14068425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52</xdr:row>
      <xdr:rowOff>409574</xdr:rowOff>
    </xdr:from>
    <xdr:ext cx="4238625" cy="5334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2361334" y="13163549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52</xdr:row>
      <xdr:rowOff>77067</xdr:rowOff>
    </xdr:from>
    <xdr:ext cx="857250" cy="990600"/>
    <xdr:grpSp>
      <xdr:nvGrpSpPr>
        <xdr:cNvPr id="9" name="Shape 4" title="Dibujo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>
          <a:off x="314696" y="12486781"/>
          <a:ext cx="857250" cy="990600"/>
          <a:chOff x="152400" y="152400"/>
          <a:chExt cx="914400" cy="1095375"/>
        </a:xfrm>
      </xdr:grpSpPr>
      <xdr:pic>
        <xdr:nvPicPr>
          <xdr:cNvPr id="10" name="Shape 5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34637</xdr:colOff>
      <xdr:row>103</xdr:row>
      <xdr:rowOff>50271</xdr:rowOff>
    </xdr:from>
    <xdr:ext cx="2545772" cy="919192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950" y="24517615"/>
          <a:ext cx="2545772" cy="919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107</xdr:row>
      <xdr:rowOff>0</xdr:rowOff>
    </xdr:from>
    <xdr:ext cx="4238625" cy="5334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2361334" y="25955625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107</xdr:row>
      <xdr:rowOff>409574</xdr:rowOff>
    </xdr:from>
    <xdr:ext cx="4238625" cy="53340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2361334" y="26365199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107</xdr:row>
      <xdr:rowOff>77067</xdr:rowOff>
    </xdr:from>
    <xdr:ext cx="857250" cy="990600"/>
    <xdr:grpSp>
      <xdr:nvGrpSpPr>
        <xdr:cNvPr id="15" name="Shape 4" title="Dibujo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pSpPr/>
      </xdr:nvGrpSpPr>
      <xdr:grpSpPr>
        <a:xfrm>
          <a:off x="314696" y="25331924"/>
          <a:ext cx="857250" cy="990600"/>
          <a:chOff x="152400" y="152400"/>
          <a:chExt cx="914400" cy="1095375"/>
        </a:xfrm>
      </xdr:grpSpPr>
      <xdr:pic>
        <xdr:nvPicPr>
          <xdr:cNvPr id="16" name="Shape 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158</xdr:row>
      <xdr:rowOff>25978</xdr:rowOff>
    </xdr:from>
    <xdr:ext cx="2545772" cy="736023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007" y="37268728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165</xdr:row>
      <xdr:rowOff>0</xdr:rowOff>
    </xdr:from>
    <xdr:ext cx="4238625" cy="53340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2361334" y="39243000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165</xdr:row>
      <xdr:rowOff>409574</xdr:rowOff>
    </xdr:from>
    <xdr:ext cx="4238625" cy="53340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2361334" y="3965257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165</xdr:row>
      <xdr:rowOff>77067</xdr:rowOff>
    </xdr:from>
    <xdr:ext cx="857250" cy="990600"/>
    <xdr:grpSp>
      <xdr:nvGrpSpPr>
        <xdr:cNvPr id="21" name="Shape 4" title="Dibujo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pSpPr/>
      </xdr:nvGrpSpPr>
      <xdr:grpSpPr>
        <a:xfrm>
          <a:off x="314696" y="38245103"/>
          <a:ext cx="857250" cy="990600"/>
          <a:chOff x="152400" y="152400"/>
          <a:chExt cx="914400" cy="1095375"/>
        </a:xfrm>
      </xdr:grpSpPr>
      <xdr:pic>
        <xdr:nvPicPr>
          <xdr:cNvPr id="22" name="Shape 5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216</xdr:row>
      <xdr:rowOff>25978</xdr:rowOff>
    </xdr:from>
    <xdr:ext cx="2545772" cy="736023"/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007" y="50556103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221</xdr:row>
      <xdr:rowOff>0</xdr:rowOff>
    </xdr:from>
    <xdr:ext cx="4238625" cy="53340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2358736" y="39147750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221</xdr:row>
      <xdr:rowOff>409574</xdr:rowOff>
    </xdr:from>
    <xdr:ext cx="4238625" cy="53340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2358736" y="3955732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221</xdr:row>
      <xdr:rowOff>77067</xdr:rowOff>
    </xdr:from>
    <xdr:ext cx="857250" cy="990600"/>
    <xdr:grpSp>
      <xdr:nvGrpSpPr>
        <xdr:cNvPr id="27" name="Shape 4" title="Dibujo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pSpPr/>
      </xdr:nvGrpSpPr>
      <xdr:grpSpPr>
        <a:xfrm>
          <a:off x="314696" y="51063031"/>
          <a:ext cx="857250" cy="990600"/>
          <a:chOff x="152400" y="152400"/>
          <a:chExt cx="914400" cy="1095375"/>
        </a:xfrm>
      </xdr:grpSpPr>
      <xdr:pic>
        <xdr:nvPicPr>
          <xdr:cNvPr id="28" name="Shape 5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272</xdr:row>
      <xdr:rowOff>25978</xdr:rowOff>
    </xdr:from>
    <xdr:ext cx="2545772" cy="736023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409" y="50421887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277</xdr:row>
      <xdr:rowOff>0</xdr:rowOff>
    </xdr:from>
    <xdr:ext cx="4238625" cy="53340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2358736" y="39147750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277</xdr:row>
      <xdr:rowOff>409574</xdr:rowOff>
    </xdr:from>
    <xdr:ext cx="4238625" cy="53340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2358736" y="3955732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277</xdr:row>
      <xdr:rowOff>77067</xdr:rowOff>
    </xdr:from>
    <xdr:ext cx="857250" cy="990600"/>
    <xdr:grpSp>
      <xdr:nvGrpSpPr>
        <xdr:cNvPr id="33" name="Shape 4" title="Dibujo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GrpSpPr/>
      </xdr:nvGrpSpPr>
      <xdr:grpSpPr>
        <a:xfrm>
          <a:off x="314696" y="63880960"/>
          <a:ext cx="857250" cy="990600"/>
          <a:chOff x="152400" y="152400"/>
          <a:chExt cx="914400" cy="1095375"/>
        </a:xfrm>
      </xdr:grpSpPr>
      <xdr:pic>
        <xdr:nvPicPr>
          <xdr:cNvPr id="34" name="Shape 5">
            <a:extLst>
              <a:ext uri="{FF2B5EF4-FFF2-40B4-BE49-F238E27FC236}">
                <a16:creationId xmlns:a16="http://schemas.microsoft.com/office/drawing/2014/main" id="{00000000-0008-0000-0500-000022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328</xdr:row>
      <xdr:rowOff>25978</xdr:rowOff>
    </xdr:from>
    <xdr:ext cx="2545772" cy="736023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409" y="50421887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2142259</xdr:colOff>
      <xdr:row>333</xdr:row>
      <xdr:rowOff>0</xdr:rowOff>
    </xdr:from>
    <xdr:ext cx="4238625" cy="533400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2358736" y="39147750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2142259</xdr:colOff>
      <xdr:row>333</xdr:row>
      <xdr:rowOff>409574</xdr:rowOff>
    </xdr:from>
    <xdr:ext cx="4238625" cy="53340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2358736" y="39557324"/>
          <a:ext cx="42386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latin typeface="+mn-lt"/>
              <a:ea typeface="Calibri"/>
              <a:cs typeface="Calibri"/>
              <a:sym typeface="Calibri"/>
            </a:rPr>
            <a:t>INSTITUCION EDUCATIVA JOAQUÍN OCHOA MAESTRE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PLANILLA DE NOTAS</a:t>
          </a:r>
          <a:endParaRPr sz="1400" b="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96982</xdr:colOff>
      <xdr:row>333</xdr:row>
      <xdr:rowOff>77067</xdr:rowOff>
    </xdr:from>
    <xdr:ext cx="857250" cy="990600"/>
    <xdr:grpSp>
      <xdr:nvGrpSpPr>
        <xdr:cNvPr id="39" name="Shape 4" title="Dibujo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GrpSpPr/>
      </xdr:nvGrpSpPr>
      <xdr:grpSpPr>
        <a:xfrm>
          <a:off x="314696" y="76739710"/>
          <a:ext cx="857250" cy="990600"/>
          <a:chOff x="152400" y="152400"/>
          <a:chExt cx="914400" cy="1095375"/>
        </a:xfrm>
      </xdr:grpSpPr>
      <xdr:pic>
        <xdr:nvPicPr>
          <xdr:cNvPr id="40" name="Shape 5">
            <a:extLst>
              <a:ext uri="{FF2B5EF4-FFF2-40B4-BE49-F238E27FC236}">
                <a16:creationId xmlns:a16="http://schemas.microsoft.com/office/drawing/2014/main" id="{00000000-0008-0000-0500-000028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914400" cy="1095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77932</xdr:colOff>
      <xdr:row>384</xdr:row>
      <xdr:rowOff>25978</xdr:rowOff>
    </xdr:from>
    <xdr:ext cx="2545772" cy="736023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409" y="50421887"/>
          <a:ext cx="2545772" cy="7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86"/>
  <sheetViews>
    <sheetView view="pageLayout" topLeftCell="A107" zoomScaleNormal="110" workbookViewId="0">
      <selection activeCell="B6" sqref="B6"/>
    </sheetView>
  </sheetViews>
  <sheetFormatPr baseColWidth="10" defaultColWidth="14.42578125" defaultRowHeight="15" customHeight="1" x14ac:dyDescent="0.25"/>
  <cols>
    <col min="1" max="1" width="3.28515625" style="1" customWidth="1"/>
    <col min="2" max="2" width="35.140625" style="1" customWidth="1"/>
    <col min="3" max="3" width="4.28515625" style="1" customWidth="1"/>
    <col min="4" max="8" width="4" style="1" customWidth="1"/>
    <col min="9" max="9" width="5" style="1" customWidth="1"/>
    <col min="10" max="10" width="4.28515625" style="1" customWidth="1"/>
    <col min="11" max="11" width="3.7109375" style="1" customWidth="1"/>
    <col min="12" max="12" width="3.5703125" style="1" customWidth="1"/>
    <col min="13" max="13" width="5.140625" style="1" customWidth="1"/>
    <col min="14" max="14" width="4.5703125" style="1" customWidth="1"/>
    <col min="15" max="15" width="3.5703125" style="1" customWidth="1"/>
    <col min="16" max="16" width="5.42578125" style="1" customWidth="1"/>
    <col min="17" max="19" width="3.5703125" style="1" customWidth="1"/>
    <col min="20" max="20" width="4" style="1" customWidth="1"/>
    <col min="21" max="21" width="3.5703125" style="1" customWidth="1"/>
    <col min="22" max="22" width="5.42578125" style="1" customWidth="1"/>
    <col min="23" max="23" width="0.140625" style="1" customWidth="1"/>
    <col min="24" max="24" width="0.5703125" style="1" hidden="1" customWidth="1"/>
    <col min="25" max="27" width="4.140625" style="1" customWidth="1"/>
    <col min="28" max="16384" width="14.42578125" style="1"/>
  </cols>
  <sheetData>
    <row r="1" spans="1:24" ht="87.75" customHeight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2"/>
      <c r="Q1" s="288"/>
      <c r="R1" s="289"/>
      <c r="S1" s="289"/>
      <c r="T1" s="289"/>
      <c r="U1" s="289"/>
      <c r="V1" s="289"/>
      <c r="W1" s="289"/>
      <c r="X1" s="289"/>
    </row>
    <row r="2" spans="1:24" ht="15.75" thickBot="1" x14ac:dyDescent="0.3">
      <c r="A2" s="218" t="s">
        <v>18</v>
      </c>
      <c r="B2" s="219"/>
      <c r="C2" s="220" t="s">
        <v>931</v>
      </c>
      <c r="D2" s="221"/>
      <c r="E2" s="221"/>
      <c r="F2" s="221"/>
      <c r="G2" s="221"/>
      <c r="H2" s="221"/>
      <c r="I2" s="222"/>
      <c r="J2" s="223" t="s">
        <v>20</v>
      </c>
      <c r="K2" s="224"/>
      <c r="L2" s="224"/>
      <c r="M2" s="224"/>
      <c r="N2" s="225"/>
      <c r="O2" s="225"/>
      <c r="P2" s="225"/>
      <c r="Q2" s="226"/>
      <c r="R2" s="227" t="s">
        <v>22</v>
      </c>
      <c r="S2" s="228"/>
      <c r="T2" s="228"/>
      <c r="U2" s="228"/>
      <c r="V2" s="228"/>
      <c r="W2" s="228"/>
      <c r="X2" s="229"/>
    </row>
    <row r="3" spans="1:24" ht="20.25" customHeight="1" x14ac:dyDescent="0.25">
      <c r="A3" s="230" t="s">
        <v>0</v>
      </c>
      <c r="B3" s="233" t="s">
        <v>1</v>
      </c>
      <c r="C3" s="235" t="s">
        <v>12</v>
      </c>
      <c r="D3" s="235"/>
      <c r="E3" s="235"/>
      <c r="F3" s="235"/>
      <c r="G3" s="235"/>
      <c r="H3" s="235"/>
      <c r="I3" s="235"/>
      <c r="J3" s="235"/>
      <c r="K3" s="236" t="s">
        <v>13</v>
      </c>
      <c r="L3" s="237"/>
      <c r="M3" s="237"/>
      <c r="N3" s="240" t="s">
        <v>15</v>
      </c>
      <c r="O3" s="240"/>
      <c r="P3" s="240"/>
      <c r="Q3" s="241" t="s">
        <v>4</v>
      </c>
      <c r="R3" s="244" t="s">
        <v>11</v>
      </c>
      <c r="S3" s="244"/>
      <c r="T3" s="244"/>
      <c r="U3" s="244"/>
      <c r="V3" s="244"/>
      <c r="W3" s="246" t="s">
        <v>2</v>
      </c>
      <c r="X3" s="247"/>
    </row>
    <row r="4" spans="1:24" ht="15" customHeight="1" x14ac:dyDescent="0.25">
      <c r="A4" s="231"/>
      <c r="B4" s="181"/>
      <c r="C4" s="248" t="s">
        <v>6</v>
      </c>
      <c r="D4" s="248" t="s">
        <v>17</v>
      </c>
      <c r="E4" s="248" t="s">
        <v>5</v>
      </c>
      <c r="F4" s="250"/>
      <c r="G4" s="250"/>
      <c r="H4" s="250"/>
      <c r="I4" s="251" t="s">
        <v>16</v>
      </c>
      <c r="J4" s="253" t="s">
        <v>14</v>
      </c>
      <c r="K4" s="238"/>
      <c r="L4" s="239"/>
      <c r="M4" s="239"/>
      <c r="N4" s="240"/>
      <c r="O4" s="240"/>
      <c r="P4" s="240"/>
      <c r="Q4" s="242"/>
      <c r="R4" s="245"/>
      <c r="S4" s="245"/>
      <c r="T4" s="245"/>
      <c r="U4" s="245"/>
      <c r="V4" s="245"/>
      <c r="W4" s="187"/>
      <c r="X4" s="187"/>
    </row>
    <row r="5" spans="1:24" ht="45" customHeight="1" thickBot="1" x14ac:dyDescent="0.3">
      <c r="A5" s="232"/>
      <c r="B5" s="234"/>
      <c r="C5" s="249"/>
      <c r="D5" s="249"/>
      <c r="E5" s="249"/>
      <c r="F5" s="249"/>
      <c r="G5" s="249"/>
      <c r="H5" s="249"/>
      <c r="I5" s="252"/>
      <c r="J5" s="254"/>
      <c r="K5" s="2" t="s">
        <v>9</v>
      </c>
      <c r="L5" s="2" t="s">
        <v>10</v>
      </c>
      <c r="M5" s="21" t="s">
        <v>3</v>
      </c>
      <c r="N5" s="2" t="s">
        <v>9</v>
      </c>
      <c r="O5" s="2" t="s">
        <v>10</v>
      </c>
      <c r="P5" s="22" t="s">
        <v>3</v>
      </c>
      <c r="Q5" s="243"/>
      <c r="R5" s="198" t="s">
        <v>7</v>
      </c>
      <c r="S5" s="199"/>
      <c r="T5" s="199"/>
      <c r="U5" s="200"/>
      <c r="V5" s="23" t="s">
        <v>8</v>
      </c>
      <c r="W5" s="5">
        <v>1</v>
      </c>
      <c r="X5" s="5">
        <v>2</v>
      </c>
    </row>
    <row r="6" spans="1:24" x14ac:dyDescent="0.25">
      <c r="A6" s="6">
        <v>1</v>
      </c>
      <c r="B6" s="110" t="s">
        <v>557</v>
      </c>
      <c r="C6" s="8"/>
      <c r="D6" s="8"/>
      <c r="E6" s="8"/>
      <c r="F6" s="8"/>
      <c r="G6" s="8"/>
      <c r="H6" s="8"/>
      <c r="I6" s="9"/>
      <c r="J6" s="15" t="e">
        <f>((AVERAGE(C6:H6))*72%)+I6*8%</f>
        <v>#DIV/0!</v>
      </c>
      <c r="K6" s="8"/>
      <c r="L6" s="8"/>
      <c r="M6" s="15" t="e">
        <f>(AVERAGE(K6:L6))*10%</f>
        <v>#DIV/0!</v>
      </c>
      <c r="N6" s="9"/>
      <c r="O6" s="9"/>
      <c r="P6" s="15" t="e">
        <f>(AVERAGE(N6:O6))*10%</f>
        <v>#DIV/0!</v>
      </c>
      <c r="Q6" s="8"/>
      <c r="R6" s="201" t="e">
        <f>IF(V6&lt;65,"BAJO",IF(V6&lt;=79,"BASICO",IF(V6&lt;=89,"ALTO",IF(V6&lt;=100,"SUPERIOR"))))</f>
        <v>#DIV/0!</v>
      </c>
      <c r="S6" s="202"/>
      <c r="T6" s="202"/>
      <c r="U6" s="203"/>
      <c r="V6" s="14" t="e">
        <f>J6+M6+P6</f>
        <v>#DIV/0!</v>
      </c>
      <c r="W6" s="10"/>
      <c r="X6" s="10"/>
    </row>
    <row r="7" spans="1:24" x14ac:dyDescent="0.25">
      <c r="A7" s="6">
        <v>2</v>
      </c>
      <c r="B7" s="111" t="s">
        <v>840</v>
      </c>
      <c r="C7" s="8"/>
      <c r="D7" s="8"/>
      <c r="E7" s="8"/>
      <c r="F7" s="8"/>
      <c r="G7" s="8"/>
      <c r="H7" s="8"/>
      <c r="I7" s="9"/>
      <c r="J7" s="15" t="e">
        <f t="shared" ref="J7:J51" si="0">((AVERAGE(C7:H7))*72%)+I7*8%</f>
        <v>#DIV/0!</v>
      </c>
      <c r="K7" s="8"/>
      <c r="L7" s="8"/>
      <c r="M7" s="15" t="e">
        <f t="shared" ref="M7:M51" si="1">(AVERAGE(K7:L7))*10%</f>
        <v>#DIV/0!</v>
      </c>
      <c r="N7" s="8"/>
      <c r="O7" s="8"/>
      <c r="P7" s="15" t="e">
        <f t="shared" ref="P7:P51" si="2">(AVERAGE(N7:O7))*10%</f>
        <v>#DIV/0!</v>
      </c>
      <c r="Q7" s="11"/>
      <c r="R7" s="201" t="e">
        <f t="shared" ref="R7:R51" si="3">IF(V7&lt;65,"BAJO",IF(V7&lt;=79,"BASICO",IF(V7&lt;=89,"ALTO",IF(V7&lt;=100,"SUPERIOR"))))</f>
        <v>#DIV/0!</v>
      </c>
      <c r="S7" s="202"/>
      <c r="T7" s="202"/>
      <c r="U7" s="203"/>
      <c r="V7" s="14" t="e">
        <f>J7+M7+P7</f>
        <v>#DIV/0!</v>
      </c>
      <c r="W7" s="10"/>
      <c r="X7" s="10"/>
    </row>
    <row r="8" spans="1:24" x14ac:dyDescent="0.25">
      <c r="A8" s="6">
        <v>3</v>
      </c>
      <c r="B8" s="111" t="s">
        <v>841</v>
      </c>
      <c r="C8" s="8"/>
      <c r="D8" s="8"/>
      <c r="E8" s="8"/>
      <c r="F8" s="8"/>
      <c r="G8" s="8"/>
      <c r="H8" s="8"/>
      <c r="I8" s="9"/>
      <c r="J8" s="15" t="e">
        <f t="shared" si="0"/>
        <v>#DIV/0!</v>
      </c>
      <c r="K8" s="8"/>
      <c r="L8" s="8"/>
      <c r="M8" s="15" t="e">
        <f t="shared" si="1"/>
        <v>#DIV/0!</v>
      </c>
      <c r="N8" s="8"/>
      <c r="O8" s="8"/>
      <c r="P8" s="15" t="e">
        <f t="shared" si="2"/>
        <v>#DIV/0!</v>
      </c>
      <c r="Q8" s="11"/>
      <c r="R8" s="201" t="e">
        <f t="shared" si="3"/>
        <v>#DIV/0!</v>
      </c>
      <c r="S8" s="202"/>
      <c r="T8" s="202"/>
      <c r="U8" s="203"/>
      <c r="V8" s="14" t="e">
        <f t="shared" ref="V8:V51" si="4">J8+M8+P8</f>
        <v>#DIV/0!</v>
      </c>
      <c r="W8" s="10"/>
      <c r="X8" s="10"/>
    </row>
    <row r="9" spans="1:24" x14ac:dyDescent="0.25">
      <c r="A9" s="6">
        <v>4</v>
      </c>
      <c r="B9" s="111" t="s">
        <v>55</v>
      </c>
      <c r="C9" s="8"/>
      <c r="D9" s="8"/>
      <c r="E9" s="8"/>
      <c r="F9" s="8"/>
      <c r="G9" s="8"/>
      <c r="H9" s="8"/>
      <c r="I9" s="8"/>
      <c r="J9" s="15" t="e">
        <f t="shared" si="0"/>
        <v>#DIV/0!</v>
      </c>
      <c r="K9" s="8"/>
      <c r="L9" s="8"/>
      <c r="M9" s="15" t="e">
        <f t="shared" si="1"/>
        <v>#DIV/0!</v>
      </c>
      <c r="N9" s="8"/>
      <c r="O9" s="8"/>
      <c r="P9" s="15" t="e">
        <f t="shared" si="2"/>
        <v>#DIV/0!</v>
      </c>
      <c r="Q9" s="11"/>
      <c r="R9" s="201" t="e">
        <f t="shared" si="3"/>
        <v>#DIV/0!</v>
      </c>
      <c r="S9" s="202"/>
      <c r="T9" s="202"/>
      <c r="U9" s="203"/>
      <c r="V9" s="14" t="e">
        <f t="shared" si="4"/>
        <v>#DIV/0!</v>
      </c>
      <c r="W9" s="10"/>
      <c r="X9" s="10"/>
    </row>
    <row r="10" spans="1:24" x14ac:dyDescent="0.25">
      <c r="A10" s="6">
        <v>5</v>
      </c>
      <c r="B10" s="111" t="s">
        <v>842</v>
      </c>
      <c r="C10" s="8"/>
      <c r="D10" s="8"/>
      <c r="E10" s="8"/>
      <c r="F10" s="8"/>
      <c r="G10" s="8"/>
      <c r="H10" s="8"/>
      <c r="I10" s="8"/>
      <c r="J10" s="15" t="e">
        <f t="shared" si="0"/>
        <v>#DIV/0!</v>
      </c>
      <c r="K10" s="8"/>
      <c r="L10" s="8"/>
      <c r="M10" s="15" t="e">
        <f t="shared" si="1"/>
        <v>#DIV/0!</v>
      </c>
      <c r="N10" s="8"/>
      <c r="O10" s="8"/>
      <c r="P10" s="15" t="e">
        <f t="shared" si="2"/>
        <v>#DIV/0!</v>
      </c>
      <c r="Q10" s="10"/>
      <c r="R10" s="201" t="e">
        <f t="shared" si="3"/>
        <v>#DIV/0!</v>
      </c>
      <c r="S10" s="202"/>
      <c r="T10" s="202"/>
      <c r="U10" s="203"/>
      <c r="V10" s="14" t="e">
        <f t="shared" si="4"/>
        <v>#DIV/0!</v>
      </c>
      <c r="W10" s="10"/>
      <c r="X10" s="10"/>
    </row>
    <row r="11" spans="1:24" x14ac:dyDescent="0.25">
      <c r="A11" s="6">
        <v>6</v>
      </c>
      <c r="B11" s="111" t="s">
        <v>843</v>
      </c>
      <c r="C11" s="8"/>
      <c r="D11" s="8"/>
      <c r="E11" s="8"/>
      <c r="F11" s="8"/>
      <c r="G11" s="8"/>
      <c r="H11" s="8"/>
      <c r="I11" s="8"/>
      <c r="J11" s="15" t="e">
        <f t="shared" si="0"/>
        <v>#DIV/0!</v>
      </c>
      <c r="K11" s="8"/>
      <c r="L11" s="8"/>
      <c r="M11" s="15" t="e">
        <f t="shared" si="1"/>
        <v>#DIV/0!</v>
      </c>
      <c r="N11" s="8"/>
      <c r="O11" s="8"/>
      <c r="P11" s="15" t="e">
        <f t="shared" si="2"/>
        <v>#DIV/0!</v>
      </c>
      <c r="Q11" s="10"/>
      <c r="R11" s="201" t="e">
        <f t="shared" si="3"/>
        <v>#DIV/0!</v>
      </c>
      <c r="S11" s="202"/>
      <c r="T11" s="202"/>
      <c r="U11" s="203"/>
      <c r="V11" s="14" t="e">
        <f t="shared" si="4"/>
        <v>#DIV/0!</v>
      </c>
      <c r="W11" s="10"/>
      <c r="X11" s="10"/>
    </row>
    <row r="12" spans="1:24" x14ac:dyDescent="0.25">
      <c r="A12" s="6">
        <v>7</v>
      </c>
      <c r="B12" s="111" t="s">
        <v>43</v>
      </c>
      <c r="C12" s="8"/>
      <c r="D12" s="8"/>
      <c r="E12" s="8"/>
      <c r="F12" s="8"/>
      <c r="G12" s="8"/>
      <c r="H12" s="8"/>
      <c r="I12" s="8"/>
      <c r="J12" s="15" t="e">
        <f t="shared" si="0"/>
        <v>#DIV/0!</v>
      </c>
      <c r="K12" s="8"/>
      <c r="L12" s="8"/>
      <c r="M12" s="15" t="e">
        <f t="shared" si="1"/>
        <v>#DIV/0!</v>
      </c>
      <c r="N12" s="8"/>
      <c r="O12" s="8"/>
      <c r="P12" s="15" t="e">
        <f t="shared" si="2"/>
        <v>#DIV/0!</v>
      </c>
      <c r="Q12" s="10"/>
      <c r="R12" s="201" t="e">
        <f t="shared" si="3"/>
        <v>#DIV/0!</v>
      </c>
      <c r="S12" s="202"/>
      <c r="T12" s="202"/>
      <c r="U12" s="203"/>
      <c r="V12" s="14" t="e">
        <f t="shared" si="4"/>
        <v>#DIV/0!</v>
      </c>
      <c r="W12" s="10"/>
      <c r="X12" s="10"/>
    </row>
    <row r="13" spans="1:24" x14ac:dyDescent="0.25">
      <c r="A13" s="6">
        <v>8</v>
      </c>
      <c r="B13" s="111" t="s">
        <v>844</v>
      </c>
      <c r="C13" s="8"/>
      <c r="D13" s="8"/>
      <c r="E13" s="8"/>
      <c r="F13" s="8"/>
      <c r="G13" s="8"/>
      <c r="H13" s="8"/>
      <c r="I13" s="8"/>
      <c r="J13" s="15" t="e">
        <f t="shared" si="0"/>
        <v>#DIV/0!</v>
      </c>
      <c r="K13" s="8"/>
      <c r="L13" s="8"/>
      <c r="M13" s="15" t="e">
        <f t="shared" si="1"/>
        <v>#DIV/0!</v>
      </c>
      <c r="N13" s="8"/>
      <c r="O13" s="8"/>
      <c r="P13" s="15" t="e">
        <f t="shared" si="2"/>
        <v>#DIV/0!</v>
      </c>
      <c r="Q13" s="10"/>
      <c r="R13" s="201" t="e">
        <f t="shared" si="3"/>
        <v>#DIV/0!</v>
      </c>
      <c r="S13" s="202"/>
      <c r="T13" s="202"/>
      <c r="U13" s="203"/>
      <c r="V13" s="14" t="e">
        <f t="shared" si="4"/>
        <v>#DIV/0!</v>
      </c>
      <c r="W13" s="10"/>
      <c r="X13" s="10"/>
    </row>
    <row r="14" spans="1:24" x14ac:dyDescent="0.25">
      <c r="A14" s="6">
        <v>9</v>
      </c>
      <c r="B14" s="111" t="s">
        <v>45</v>
      </c>
      <c r="C14" s="8"/>
      <c r="D14" s="8"/>
      <c r="E14" s="8"/>
      <c r="F14" s="8"/>
      <c r="G14" s="8"/>
      <c r="H14" s="8"/>
      <c r="I14" s="8"/>
      <c r="J14" s="15" t="e">
        <f t="shared" si="0"/>
        <v>#DIV/0!</v>
      </c>
      <c r="K14" s="8"/>
      <c r="L14" s="8"/>
      <c r="M14" s="15" t="e">
        <f t="shared" si="1"/>
        <v>#DIV/0!</v>
      </c>
      <c r="N14" s="8"/>
      <c r="O14" s="8"/>
      <c r="P14" s="15" t="e">
        <f t="shared" si="2"/>
        <v>#DIV/0!</v>
      </c>
      <c r="Q14" s="10"/>
      <c r="R14" s="201" t="e">
        <f t="shared" si="3"/>
        <v>#DIV/0!</v>
      </c>
      <c r="S14" s="202"/>
      <c r="T14" s="202"/>
      <c r="U14" s="203"/>
      <c r="V14" s="14" t="e">
        <f t="shared" si="4"/>
        <v>#DIV/0!</v>
      </c>
      <c r="W14" s="10"/>
      <c r="X14" s="10"/>
    </row>
    <row r="15" spans="1:24" x14ac:dyDescent="0.25">
      <c r="A15" s="6">
        <v>10</v>
      </c>
      <c r="B15" s="111" t="s">
        <v>845</v>
      </c>
      <c r="C15" s="8"/>
      <c r="D15" s="8"/>
      <c r="E15" s="8"/>
      <c r="F15" s="8"/>
      <c r="G15" s="8"/>
      <c r="H15" s="8"/>
      <c r="I15" s="8"/>
      <c r="J15" s="15" t="e">
        <f t="shared" si="0"/>
        <v>#DIV/0!</v>
      </c>
      <c r="K15" s="8"/>
      <c r="L15" s="8"/>
      <c r="M15" s="15" t="e">
        <f t="shared" si="1"/>
        <v>#DIV/0!</v>
      </c>
      <c r="N15" s="8"/>
      <c r="O15" s="8"/>
      <c r="P15" s="15" t="e">
        <f t="shared" si="2"/>
        <v>#DIV/0!</v>
      </c>
      <c r="Q15" s="10"/>
      <c r="R15" s="201" t="e">
        <f t="shared" si="3"/>
        <v>#DIV/0!</v>
      </c>
      <c r="S15" s="202"/>
      <c r="T15" s="202"/>
      <c r="U15" s="203"/>
      <c r="V15" s="14" t="e">
        <f t="shared" si="4"/>
        <v>#DIV/0!</v>
      </c>
      <c r="W15" s="10"/>
      <c r="X15" s="10"/>
    </row>
    <row r="16" spans="1:24" x14ac:dyDescent="0.25">
      <c r="A16" s="6">
        <v>11</v>
      </c>
      <c r="B16" s="111" t="s">
        <v>26</v>
      </c>
      <c r="C16" s="8"/>
      <c r="D16" s="8"/>
      <c r="E16" s="8"/>
      <c r="F16" s="8"/>
      <c r="G16" s="8"/>
      <c r="H16" s="8"/>
      <c r="I16" s="8"/>
      <c r="J16" s="15" t="e">
        <f t="shared" si="0"/>
        <v>#DIV/0!</v>
      </c>
      <c r="K16" s="8"/>
      <c r="L16" s="8"/>
      <c r="M16" s="15" t="e">
        <f t="shared" si="1"/>
        <v>#DIV/0!</v>
      </c>
      <c r="N16" s="8"/>
      <c r="O16" s="8"/>
      <c r="P16" s="15" t="e">
        <f t="shared" si="2"/>
        <v>#DIV/0!</v>
      </c>
      <c r="Q16" s="10"/>
      <c r="R16" s="201" t="e">
        <f t="shared" si="3"/>
        <v>#DIV/0!</v>
      </c>
      <c r="S16" s="202"/>
      <c r="T16" s="202"/>
      <c r="U16" s="203"/>
      <c r="V16" s="14" t="e">
        <f t="shared" si="4"/>
        <v>#DIV/0!</v>
      </c>
      <c r="W16" s="10"/>
      <c r="X16" s="10"/>
    </row>
    <row r="17" spans="1:24" x14ac:dyDescent="0.25">
      <c r="A17" s="6">
        <v>12</v>
      </c>
      <c r="B17" s="111" t="s">
        <v>27</v>
      </c>
      <c r="C17" s="8"/>
      <c r="D17" s="8"/>
      <c r="E17" s="8"/>
      <c r="F17" s="8"/>
      <c r="G17" s="8"/>
      <c r="H17" s="8"/>
      <c r="I17" s="8"/>
      <c r="J17" s="15" t="e">
        <f t="shared" si="0"/>
        <v>#DIV/0!</v>
      </c>
      <c r="K17" s="8"/>
      <c r="L17" s="8"/>
      <c r="M17" s="15" t="e">
        <f t="shared" si="1"/>
        <v>#DIV/0!</v>
      </c>
      <c r="N17" s="8"/>
      <c r="O17" s="8"/>
      <c r="P17" s="15" t="e">
        <f t="shared" si="2"/>
        <v>#DIV/0!</v>
      </c>
      <c r="Q17" s="10"/>
      <c r="R17" s="201" t="e">
        <f t="shared" si="3"/>
        <v>#DIV/0!</v>
      </c>
      <c r="S17" s="202"/>
      <c r="T17" s="202"/>
      <c r="U17" s="203"/>
      <c r="V17" s="14" t="e">
        <f t="shared" si="4"/>
        <v>#DIV/0!</v>
      </c>
      <c r="W17" s="10"/>
      <c r="X17" s="10"/>
    </row>
    <row r="18" spans="1:24" x14ac:dyDescent="0.25">
      <c r="A18" s="6">
        <v>13</v>
      </c>
      <c r="B18" s="111" t="s">
        <v>846</v>
      </c>
      <c r="C18" s="8"/>
      <c r="D18" s="8"/>
      <c r="E18" s="8"/>
      <c r="F18" s="8"/>
      <c r="G18" s="8"/>
      <c r="H18" s="8"/>
      <c r="I18" s="8"/>
      <c r="J18" s="15" t="e">
        <f t="shared" si="0"/>
        <v>#DIV/0!</v>
      </c>
      <c r="K18" s="8"/>
      <c r="L18" s="8"/>
      <c r="M18" s="15" t="e">
        <f t="shared" si="1"/>
        <v>#DIV/0!</v>
      </c>
      <c r="N18" s="8"/>
      <c r="O18" s="8"/>
      <c r="P18" s="15" t="e">
        <f t="shared" si="2"/>
        <v>#DIV/0!</v>
      </c>
      <c r="Q18" s="10"/>
      <c r="R18" s="201" t="e">
        <f t="shared" si="3"/>
        <v>#DIV/0!</v>
      </c>
      <c r="S18" s="202"/>
      <c r="T18" s="202"/>
      <c r="U18" s="203"/>
      <c r="V18" s="14" t="e">
        <f t="shared" si="4"/>
        <v>#DIV/0!</v>
      </c>
      <c r="W18" s="10"/>
      <c r="X18" s="10"/>
    </row>
    <row r="19" spans="1:24" x14ac:dyDescent="0.25">
      <c r="A19" s="6">
        <v>14</v>
      </c>
      <c r="B19" s="111" t="s">
        <v>847</v>
      </c>
      <c r="C19" s="8"/>
      <c r="D19" s="8"/>
      <c r="E19" s="8"/>
      <c r="F19" s="8"/>
      <c r="G19" s="8"/>
      <c r="H19" s="8"/>
      <c r="I19" s="8"/>
      <c r="J19" s="15" t="e">
        <f t="shared" si="0"/>
        <v>#DIV/0!</v>
      </c>
      <c r="K19" s="8"/>
      <c r="L19" s="8"/>
      <c r="M19" s="15" t="e">
        <f t="shared" si="1"/>
        <v>#DIV/0!</v>
      </c>
      <c r="N19" s="8"/>
      <c r="O19" s="8"/>
      <c r="P19" s="15" t="e">
        <f t="shared" si="2"/>
        <v>#DIV/0!</v>
      </c>
      <c r="Q19" s="10"/>
      <c r="R19" s="201" t="e">
        <f t="shared" si="3"/>
        <v>#DIV/0!</v>
      </c>
      <c r="S19" s="202"/>
      <c r="T19" s="202"/>
      <c r="U19" s="203"/>
      <c r="V19" s="14" t="e">
        <f t="shared" si="4"/>
        <v>#DIV/0!</v>
      </c>
      <c r="W19" s="10"/>
      <c r="X19" s="10"/>
    </row>
    <row r="20" spans="1:24" x14ac:dyDescent="0.25">
      <c r="A20" s="6">
        <v>15</v>
      </c>
      <c r="B20" s="111" t="s">
        <v>848</v>
      </c>
      <c r="C20" s="8"/>
      <c r="D20" s="8"/>
      <c r="E20" s="8"/>
      <c r="F20" s="8"/>
      <c r="G20" s="8"/>
      <c r="H20" s="8"/>
      <c r="I20" s="8"/>
      <c r="J20" s="15" t="e">
        <f t="shared" si="0"/>
        <v>#DIV/0!</v>
      </c>
      <c r="K20" s="8"/>
      <c r="L20" s="8"/>
      <c r="M20" s="15" t="e">
        <f t="shared" si="1"/>
        <v>#DIV/0!</v>
      </c>
      <c r="N20" s="8"/>
      <c r="O20" s="8"/>
      <c r="P20" s="15" t="e">
        <f t="shared" si="2"/>
        <v>#DIV/0!</v>
      </c>
      <c r="Q20" s="10"/>
      <c r="R20" s="201" t="e">
        <f t="shared" si="3"/>
        <v>#DIV/0!</v>
      </c>
      <c r="S20" s="202"/>
      <c r="T20" s="202"/>
      <c r="U20" s="203"/>
      <c r="V20" s="14" t="e">
        <f t="shared" si="4"/>
        <v>#DIV/0!</v>
      </c>
      <c r="W20" s="10"/>
      <c r="X20" s="10"/>
    </row>
    <row r="21" spans="1:24" ht="15.75" customHeight="1" x14ac:dyDescent="0.25">
      <c r="A21" s="6">
        <v>16</v>
      </c>
      <c r="B21" s="111" t="s">
        <v>849</v>
      </c>
      <c r="C21" s="8"/>
      <c r="D21" s="8"/>
      <c r="E21" s="8"/>
      <c r="F21" s="8"/>
      <c r="G21" s="8"/>
      <c r="H21" s="8"/>
      <c r="I21" s="8"/>
      <c r="J21" s="15" t="e">
        <f t="shared" si="0"/>
        <v>#DIV/0!</v>
      </c>
      <c r="K21" s="8"/>
      <c r="L21" s="8"/>
      <c r="M21" s="15" t="e">
        <f t="shared" si="1"/>
        <v>#DIV/0!</v>
      </c>
      <c r="N21" s="8"/>
      <c r="O21" s="8"/>
      <c r="P21" s="15" t="e">
        <f t="shared" si="2"/>
        <v>#DIV/0!</v>
      </c>
      <c r="Q21" s="10"/>
      <c r="R21" s="201" t="e">
        <f t="shared" si="3"/>
        <v>#DIV/0!</v>
      </c>
      <c r="S21" s="202"/>
      <c r="T21" s="202"/>
      <c r="U21" s="203"/>
      <c r="V21" s="14" t="e">
        <f t="shared" si="4"/>
        <v>#DIV/0!</v>
      </c>
      <c r="W21" s="10"/>
      <c r="X21" s="10"/>
    </row>
    <row r="22" spans="1:24" ht="15.75" customHeight="1" x14ac:dyDescent="0.25">
      <c r="A22" s="6">
        <v>17</v>
      </c>
      <c r="B22" s="111" t="s">
        <v>44</v>
      </c>
      <c r="C22" s="8"/>
      <c r="D22" s="8"/>
      <c r="E22" s="8"/>
      <c r="F22" s="8"/>
      <c r="G22" s="8"/>
      <c r="H22" s="8"/>
      <c r="I22" s="13"/>
      <c r="J22" s="15" t="e">
        <f t="shared" si="0"/>
        <v>#DIV/0!</v>
      </c>
      <c r="K22" s="8"/>
      <c r="L22" s="8"/>
      <c r="M22" s="15" t="e">
        <f t="shared" si="1"/>
        <v>#DIV/0!</v>
      </c>
      <c r="N22" s="8"/>
      <c r="O22" s="8"/>
      <c r="P22" s="15" t="e">
        <f t="shared" si="2"/>
        <v>#DIV/0!</v>
      </c>
      <c r="Q22" s="10"/>
      <c r="R22" s="201" t="e">
        <f t="shared" si="3"/>
        <v>#DIV/0!</v>
      </c>
      <c r="S22" s="202"/>
      <c r="T22" s="202"/>
      <c r="U22" s="203"/>
      <c r="V22" s="14" t="e">
        <f t="shared" si="4"/>
        <v>#DIV/0!</v>
      </c>
      <c r="W22" s="10"/>
      <c r="X22" s="10"/>
    </row>
    <row r="23" spans="1:24" ht="15.75" customHeight="1" x14ac:dyDescent="0.25">
      <c r="A23" s="6">
        <v>18</v>
      </c>
      <c r="B23" s="111" t="s">
        <v>850</v>
      </c>
      <c r="C23" s="8"/>
      <c r="D23" s="8"/>
      <c r="E23" s="8"/>
      <c r="F23" s="8"/>
      <c r="G23" s="8"/>
      <c r="H23" s="8"/>
      <c r="I23" s="8"/>
      <c r="J23" s="15" t="e">
        <f t="shared" si="0"/>
        <v>#DIV/0!</v>
      </c>
      <c r="K23" s="8"/>
      <c r="L23" s="8"/>
      <c r="M23" s="15" t="e">
        <f t="shared" si="1"/>
        <v>#DIV/0!</v>
      </c>
      <c r="N23" s="8"/>
      <c r="O23" s="8"/>
      <c r="P23" s="15" t="e">
        <f t="shared" si="2"/>
        <v>#DIV/0!</v>
      </c>
      <c r="Q23" s="10"/>
      <c r="R23" s="201" t="e">
        <f t="shared" si="3"/>
        <v>#DIV/0!</v>
      </c>
      <c r="S23" s="202"/>
      <c r="T23" s="202"/>
      <c r="U23" s="203"/>
      <c r="V23" s="14" t="e">
        <f t="shared" si="4"/>
        <v>#DIV/0!</v>
      </c>
      <c r="W23" s="10"/>
      <c r="X23" s="10"/>
    </row>
    <row r="24" spans="1:24" ht="15.75" customHeight="1" x14ac:dyDescent="0.25">
      <c r="A24" s="6">
        <v>19</v>
      </c>
      <c r="B24" s="111" t="s">
        <v>851</v>
      </c>
      <c r="C24" s="8"/>
      <c r="D24" s="8"/>
      <c r="E24" s="8"/>
      <c r="F24" s="8"/>
      <c r="G24" s="8"/>
      <c r="H24" s="8"/>
      <c r="I24" s="8"/>
      <c r="J24" s="15" t="e">
        <f t="shared" si="0"/>
        <v>#DIV/0!</v>
      </c>
      <c r="K24" s="8"/>
      <c r="L24" s="8"/>
      <c r="M24" s="15" t="e">
        <f t="shared" si="1"/>
        <v>#DIV/0!</v>
      </c>
      <c r="N24" s="8"/>
      <c r="O24" s="8"/>
      <c r="P24" s="15" t="e">
        <f t="shared" si="2"/>
        <v>#DIV/0!</v>
      </c>
      <c r="Q24" s="10"/>
      <c r="R24" s="201" t="e">
        <f t="shared" si="3"/>
        <v>#DIV/0!</v>
      </c>
      <c r="S24" s="202"/>
      <c r="T24" s="202"/>
      <c r="U24" s="203"/>
      <c r="V24" s="14" t="e">
        <f t="shared" si="4"/>
        <v>#DIV/0!</v>
      </c>
      <c r="W24" s="10"/>
      <c r="X24" s="10"/>
    </row>
    <row r="25" spans="1:24" ht="15.75" customHeight="1" x14ac:dyDescent="0.25">
      <c r="A25" s="6">
        <v>20</v>
      </c>
      <c r="B25" s="111" t="s">
        <v>852</v>
      </c>
      <c r="C25" s="8"/>
      <c r="D25" s="8"/>
      <c r="E25" s="8"/>
      <c r="F25" s="8"/>
      <c r="G25" s="8"/>
      <c r="H25" s="8"/>
      <c r="I25" s="8"/>
      <c r="J25" s="15" t="e">
        <f t="shared" si="0"/>
        <v>#DIV/0!</v>
      </c>
      <c r="K25" s="8"/>
      <c r="L25" s="8"/>
      <c r="M25" s="15" t="e">
        <f t="shared" si="1"/>
        <v>#DIV/0!</v>
      </c>
      <c r="N25" s="8"/>
      <c r="O25" s="8"/>
      <c r="P25" s="15" t="e">
        <f t="shared" si="2"/>
        <v>#DIV/0!</v>
      </c>
      <c r="Q25" s="10"/>
      <c r="R25" s="201" t="e">
        <f t="shared" si="3"/>
        <v>#DIV/0!</v>
      </c>
      <c r="S25" s="202"/>
      <c r="T25" s="202"/>
      <c r="U25" s="203"/>
      <c r="V25" s="14" t="e">
        <f t="shared" si="4"/>
        <v>#DIV/0!</v>
      </c>
      <c r="W25" s="10"/>
      <c r="X25" s="10"/>
    </row>
    <row r="26" spans="1:24" ht="15.75" customHeight="1" x14ac:dyDescent="0.25">
      <c r="A26" s="6">
        <v>21</v>
      </c>
      <c r="B26" s="111" t="s">
        <v>853</v>
      </c>
      <c r="C26" s="8"/>
      <c r="D26" s="8"/>
      <c r="E26" s="8"/>
      <c r="F26" s="8"/>
      <c r="G26" s="8"/>
      <c r="H26" s="8"/>
      <c r="I26" s="8"/>
      <c r="J26" s="15" t="e">
        <f t="shared" si="0"/>
        <v>#DIV/0!</v>
      </c>
      <c r="K26" s="8"/>
      <c r="L26" s="8"/>
      <c r="M26" s="15" t="e">
        <f t="shared" si="1"/>
        <v>#DIV/0!</v>
      </c>
      <c r="N26" s="8"/>
      <c r="O26" s="8"/>
      <c r="P26" s="15" t="e">
        <f t="shared" si="2"/>
        <v>#DIV/0!</v>
      </c>
      <c r="Q26" s="10"/>
      <c r="R26" s="201" t="e">
        <f t="shared" si="3"/>
        <v>#DIV/0!</v>
      </c>
      <c r="S26" s="202"/>
      <c r="T26" s="202"/>
      <c r="U26" s="203"/>
      <c r="V26" s="14" t="e">
        <f t="shared" si="4"/>
        <v>#DIV/0!</v>
      </c>
      <c r="W26" s="10"/>
      <c r="X26" s="10"/>
    </row>
    <row r="27" spans="1:24" ht="15.75" customHeight="1" x14ac:dyDescent="0.25">
      <c r="A27" s="6">
        <v>22</v>
      </c>
      <c r="B27" s="111" t="s">
        <v>854</v>
      </c>
      <c r="C27" s="8"/>
      <c r="D27" s="8"/>
      <c r="E27" s="8"/>
      <c r="F27" s="8"/>
      <c r="G27" s="8"/>
      <c r="H27" s="8"/>
      <c r="I27" s="8"/>
      <c r="J27" s="15" t="e">
        <f t="shared" si="0"/>
        <v>#DIV/0!</v>
      </c>
      <c r="K27" s="8"/>
      <c r="L27" s="8"/>
      <c r="M27" s="15" t="e">
        <f t="shared" si="1"/>
        <v>#DIV/0!</v>
      </c>
      <c r="N27" s="8"/>
      <c r="O27" s="8"/>
      <c r="P27" s="15" t="e">
        <f t="shared" si="2"/>
        <v>#DIV/0!</v>
      </c>
      <c r="Q27" s="10"/>
      <c r="R27" s="201" t="e">
        <f t="shared" si="3"/>
        <v>#DIV/0!</v>
      </c>
      <c r="S27" s="202"/>
      <c r="T27" s="202"/>
      <c r="U27" s="203"/>
      <c r="V27" s="14" t="e">
        <f t="shared" si="4"/>
        <v>#DIV/0!</v>
      </c>
      <c r="W27" s="10"/>
      <c r="X27" s="10"/>
    </row>
    <row r="28" spans="1:24" ht="15.75" customHeight="1" x14ac:dyDescent="0.25">
      <c r="A28" s="6">
        <v>23</v>
      </c>
      <c r="B28" s="111" t="s">
        <v>855</v>
      </c>
      <c r="C28" s="8"/>
      <c r="D28" s="8"/>
      <c r="E28" s="8"/>
      <c r="F28" s="8"/>
      <c r="G28" s="8"/>
      <c r="H28" s="8"/>
      <c r="I28" s="8"/>
      <c r="J28" s="15" t="e">
        <f t="shared" si="0"/>
        <v>#DIV/0!</v>
      </c>
      <c r="K28" s="8"/>
      <c r="L28" s="8"/>
      <c r="M28" s="15" t="e">
        <f t="shared" si="1"/>
        <v>#DIV/0!</v>
      </c>
      <c r="N28" s="8"/>
      <c r="O28" s="8"/>
      <c r="P28" s="15" t="e">
        <f t="shared" si="2"/>
        <v>#DIV/0!</v>
      </c>
      <c r="Q28" s="10"/>
      <c r="R28" s="201" t="e">
        <f t="shared" si="3"/>
        <v>#DIV/0!</v>
      </c>
      <c r="S28" s="202"/>
      <c r="T28" s="202"/>
      <c r="U28" s="203"/>
      <c r="V28" s="14" t="e">
        <f t="shared" si="4"/>
        <v>#DIV/0!</v>
      </c>
      <c r="W28" s="10"/>
      <c r="X28" s="10"/>
    </row>
    <row r="29" spans="1:24" ht="15.75" customHeight="1" x14ac:dyDescent="0.25">
      <c r="A29" s="6">
        <v>24</v>
      </c>
      <c r="B29" s="111" t="s">
        <v>856</v>
      </c>
      <c r="C29" s="8"/>
      <c r="D29" s="8"/>
      <c r="E29" s="8"/>
      <c r="F29" s="8"/>
      <c r="G29" s="8"/>
      <c r="H29" s="8"/>
      <c r="I29" s="8"/>
      <c r="J29" s="15" t="e">
        <f t="shared" si="0"/>
        <v>#DIV/0!</v>
      </c>
      <c r="K29" s="8"/>
      <c r="L29" s="8"/>
      <c r="M29" s="15" t="e">
        <f t="shared" si="1"/>
        <v>#DIV/0!</v>
      </c>
      <c r="N29" s="8"/>
      <c r="O29" s="8"/>
      <c r="P29" s="15" t="e">
        <f t="shared" si="2"/>
        <v>#DIV/0!</v>
      </c>
      <c r="Q29" s="10"/>
      <c r="R29" s="201" t="e">
        <f t="shared" si="3"/>
        <v>#DIV/0!</v>
      </c>
      <c r="S29" s="202"/>
      <c r="T29" s="202"/>
      <c r="U29" s="203"/>
      <c r="V29" s="14" t="e">
        <f t="shared" si="4"/>
        <v>#DIV/0!</v>
      </c>
      <c r="W29" s="10"/>
      <c r="X29" s="10"/>
    </row>
    <row r="30" spans="1:24" ht="15.75" customHeight="1" x14ac:dyDescent="0.25">
      <c r="A30" s="6">
        <v>25</v>
      </c>
      <c r="B30" s="111" t="s">
        <v>857</v>
      </c>
      <c r="C30" s="8"/>
      <c r="D30" s="8"/>
      <c r="E30" s="8"/>
      <c r="F30" s="8"/>
      <c r="G30" s="8"/>
      <c r="H30" s="8"/>
      <c r="I30" s="8"/>
      <c r="J30" s="15" t="e">
        <f t="shared" si="0"/>
        <v>#DIV/0!</v>
      </c>
      <c r="K30" s="8"/>
      <c r="L30" s="8"/>
      <c r="M30" s="15" t="e">
        <f t="shared" si="1"/>
        <v>#DIV/0!</v>
      </c>
      <c r="N30" s="8"/>
      <c r="O30" s="8"/>
      <c r="P30" s="15" t="e">
        <f t="shared" si="2"/>
        <v>#DIV/0!</v>
      </c>
      <c r="Q30" s="10"/>
      <c r="R30" s="201" t="e">
        <f t="shared" si="3"/>
        <v>#DIV/0!</v>
      </c>
      <c r="S30" s="202"/>
      <c r="T30" s="202"/>
      <c r="U30" s="203"/>
      <c r="V30" s="14" t="e">
        <f t="shared" si="4"/>
        <v>#DIV/0!</v>
      </c>
      <c r="W30" s="10"/>
      <c r="X30" s="10"/>
    </row>
    <row r="31" spans="1:24" ht="15.75" customHeight="1" x14ac:dyDescent="0.25">
      <c r="A31" s="6">
        <v>26</v>
      </c>
      <c r="B31" s="111" t="s">
        <v>858</v>
      </c>
      <c r="C31" s="8"/>
      <c r="D31" s="8"/>
      <c r="E31" s="8"/>
      <c r="F31" s="8"/>
      <c r="G31" s="8"/>
      <c r="H31" s="8"/>
      <c r="I31" s="8"/>
      <c r="J31" s="15" t="e">
        <f t="shared" si="0"/>
        <v>#DIV/0!</v>
      </c>
      <c r="K31" s="8"/>
      <c r="L31" s="8"/>
      <c r="M31" s="15" t="e">
        <f t="shared" si="1"/>
        <v>#DIV/0!</v>
      </c>
      <c r="N31" s="8"/>
      <c r="O31" s="8"/>
      <c r="P31" s="15" t="e">
        <f t="shared" si="2"/>
        <v>#DIV/0!</v>
      </c>
      <c r="Q31" s="10"/>
      <c r="R31" s="201" t="e">
        <f t="shared" si="3"/>
        <v>#DIV/0!</v>
      </c>
      <c r="S31" s="202"/>
      <c r="T31" s="202"/>
      <c r="U31" s="203"/>
      <c r="V31" s="14" t="e">
        <f t="shared" si="4"/>
        <v>#DIV/0!</v>
      </c>
      <c r="W31" s="10"/>
      <c r="X31" s="10"/>
    </row>
    <row r="32" spans="1:24" ht="15.75" customHeight="1" x14ac:dyDescent="0.25">
      <c r="A32" s="6">
        <v>27</v>
      </c>
      <c r="B32" s="111" t="s">
        <v>859</v>
      </c>
      <c r="C32" s="8"/>
      <c r="D32" s="8"/>
      <c r="E32" s="8"/>
      <c r="F32" s="8"/>
      <c r="G32" s="8"/>
      <c r="H32" s="8"/>
      <c r="I32" s="8"/>
      <c r="J32" s="15" t="e">
        <f t="shared" si="0"/>
        <v>#DIV/0!</v>
      </c>
      <c r="K32" s="8"/>
      <c r="L32" s="8"/>
      <c r="M32" s="15" t="e">
        <f t="shared" si="1"/>
        <v>#DIV/0!</v>
      </c>
      <c r="N32" s="8"/>
      <c r="O32" s="8"/>
      <c r="P32" s="15" t="e">
        <f t="shared" si="2"/>
        <v>#DIV/0!</v>
      </c>
      <c r="Q32" s="10"/>
      <c r="R32" s="201" t="e">
        <f t="shared" si="3"/>
        <v>#DIV/0!</v>
      </c>
      <c r="S32" s="202"/>
      <c r="T32" s="202"/>
      <c r="U32" s="203"/>
      <c r="V32" s="14" t="e">
        <f t="shared" si="4"/>
        <v>#DIV/0!</v>
      </c>
      <c r="W32" s="10"/>
      <c r="X32" s="10"/>
    </row>
    <row r="33" spans="1:24" ht="15.75" customHeight="1" x14ac:dyDescent="0.25">
      <c r="A33" s="6">
        <v>28</v>
      </c>
      <c r="B33" s="111" t="s">
        <v>860</v>
      </c>
      <c r="C33" s="8"/>
      <c r="D33" s="8"/>
      <c r="E33" s="8"/>
      <c r="F33" s="8"/>
      <c r="G33" s="8"/>
      <c r="H33" s="8"/>
      <c r="I33" s="8"/>
      <c r="J33" s="15" t="e">
        <f t="shared" si="0"/>
        <v>#DIV/0!</v>
      </c>
      <c r="K33" s="8"/>
      <c r="L33" s="8"/>
      <c r="M33" s="15" t="e">
        <f t="shared" si="1"/>
        <v>#DIV/0!</v>
      </c>
      <c r="N33" s="8"/>
      <c r="O33" s="8"/>
      <c r="P33" s="15" t="e">
        <f t="shared" si="2"/>
        <v>#DIV/0!</v>
      </c>
      <c r="Q33" s="10"/>
      <c r="R33" s="201" t="e">
        <f t="shared" si="3"/>
        <v>#DIV/0!</v>
      </c>
      <c r="S33" s="202"/>
      <c r="T33" s="202"/>
      <c r="U33" s="203"/>
      <c r="V33" s="14" t="e">
        <f t="shared" si="4"/>
        <v>#DIV/0!</v>
      </c>
      <c r="W33" s="10"/>
      <c r="X33" s="10"/>
    </row>
    <row r="34" spans="1:24" ht="15.75" customHeight="1" x14ac:dyDescent="0.25">
      <c r="A34" s="6">
        <v>29</v>
      </c>
      <c r="B34" s="111" t="s">
        <v>861</v>
      </c>
      <c r="C34" s="8"/>
      <c r="D34" s="8"/>
      <c r="E34" s="8"/>
      <c r="F34" s="8"/>
      <c r="G34" s="8"/>
      <c r="H34" s="8"/>
      <c r="I34" s="8"/>
      <c r="J34" s="15" t="e">
        <f t="shared" si="0"/>
        <v>#DIV/0!</v>
      </c>
      <c r="K34" s="8"/>
      <c r="L34" s="8"/>
      <c r="M34" s="15" t="e">
        <f t="shared" si="1"/>
        <v>#DIV/0!</v>
      </c>
      <c r="N34" s="8"/>
      <c r="O34" s="8"/>
      <c r="P34" s="15" t="e">
        <f t="shared" si="2"/>
        <v>#DIV/0!</v>
      </c>
      <c r="Q34" s="10"/>
      <c r="R34" s="201" t="e">
        <f t="shared" si="3"/>
        <v>#DIV/0!</v>
      </c>
      <c r="S34" s="202"/>
      <c r="T34" s="202"/>
      <c r="U34" s="203"/>
      <c r="V34" s="14" t="e">
        <f t="shared" si="4"/>
        <v>#DIV/0!</v>
      </c>
      <c r="W34" s="10"/>
      <c r="X34" s="10"/>
    </row>
    <row r="35" spans="1:24" ht="15.75" customHeight="1" x14ac:dyDescent="0.25">
      <c r="A35" s="6">
        <v>30</v>
      </c>
      <c r="B35" s="111" t="s">
        <v>894</v>
      </c>
      <c r="C35" s="8"/>
      <c r="D35" s="8"/>
      <c r="E35" s="8"/>
      <c r="F35" s="8"/>
      <c r="G35" s="8"/>
      <c r="H35" s="8"/>
      <c r="I35" s="8"/>
      <c r="J35" s="15" t="e">
        <f t="shared" si="0"/>
        <v>#DIV/0!</v>
      </c>
      <c r="K35" s="8"/>
      <c r="L35" s="8"/>
      <c r="M35" s="15" t="e">
        <f t="shared" si="1"/>
        <v>#DIV/0!</v>
      </c>
      <c r="N35" s="8"/>
      <c r="O35" s="8"/>
      <c r="P35" s="15" t="e">
        <f t="shared" si="2"/>
        <v>#DIV/0!</v>
      </c>
      <c r="Q35" s="10"/>
      <c r="R35" s="201" t="e">
        <f t="shared" si="3"/>
        <v>#DIV/0!</v>
      </c>
      <c r="S35" s="202"/>
      <c r="T35" s="202"/>
      <c r="U35" s="203"/>
      <c r="V35" s="14" t="e">
        <f t="shared" si="4"/>
        <v>#DIV/0!</v>
      </c>
      <c r="W35" s="10"/>
      <c r="X35" s="10"/>
    </row>
    <row r="36" spans="1:24" ht="15.75" customHeight="1" x14ac:dyDescent="0.25">
      <c r="A36" s="6">
        <v>31</v>
      </c>
      <c r="B36" s="111" t="s">
        <v>554</v>
      </c>
      <c r="C36" s="8"/>
      <c r="D36" s="8"/>
      <c r="E36" s="8"/>
      <c r="F36" s="8"/>
      <c r="G36" s="8"/>
      <c r="H36" s="8"/>
      <c r="I36" s="8"/>
      <c r="J36" s="15" t="e">
        <f t="shared" si="0"/>
        <v>#DIV/0!</v>
      </c>
      <c r="K36" s="8"/>
      <c r="L36" s="8"/>
      <c r="M36" s="15" t="e">
        <f t="shared" si="1"/>
        <v>#DIV/0!</v>
      </c>
      <c r="N36" s="8"/>
      <c r="O36" s="8"/>
      <c r="P36" s="15" t="e">
        <f t="shared" si="2"/>
        <v>#DIV/0!</v>
      </c>
      <c r="Q36" s="10"/>
      <c r="R36" s="201" t="e">
        <f t="shared" si="3"/>
        <v>#DIV/0!</v>
      </c>
      <c r="S36" s="202"/>
      <c r="T36" s="202"/>
      <c r="U36" s="203"/>
      <c r="V36" s="14" t="e">
        <f t="shared" si="4"/>
        <v>#DIV/0!</v>
      </c>
      <c r="W36" s="10"/>
      <c r="X36" s="10"/>
    </row>
    <row r="37" spans="1:24" ht="15.75" customHeight="1" x14ac:dyDescent="0.25">
      <c r="A37" s="6">
        <v>32</v>
      </c>
      <c r="B37" s="122" t="s">
        <v>862</v>
      </c>
      <c r="C37" s="8"/>
      <c r="D37" s="8"/>
      <c r="E37" s="8"/>
      <c r="F37" s="8"/>
      <c r="G37" s="8"/>
      <c r="H37" s="8"/>
      <c r="I37" s="8"/>
      <c r="J37" s="15" t="e">
        <f t="shared" si="0"/>
        <v>#DIV/0!</v>
      </c>
      <c r="K37" s="8"/>
      <c r="L37" s="8"/>
      <c r="M37" s="15" t="e">
        <f t="shared" si="1"/>
        <v>#DIV/0!</v>
      </c>
      <c r="N37" s="8"/>
      <c r="O37" s="8"/>
      <c r="P37" s="15" t="e">
        <f t="shared" si="2"/>
        <v>#DIV/0!</v>
      </c>
      <c r="Q37" s="10"/>
      <c r="R37" s="201" t="e">
        <f t="shared" si="3"/>
        <v>#DIV/0!</v>
      </c>
      <c r="S37" s="202"/>
      <c r="T37" s="202"/>
      <c r="U37" s="203"/>
      <c r="V37" s="14" t="e">
        <f t="shared" si="4"/>
        <v>#DIV/0!</v>
      </c>
      <c r="W37" s="10"/>
      <c r="X37" s="10"/>
    </row>
    <row r="38" spans="1:24" ht="15.75" customHeight="1" x14ac:dyDescent="0.25">
      <c r="A38" s="6">
        <v>33</v>
      </c>
      <c r="B38" s="111" t="s">
        <v>863</v>
      </c>
      <c r="C38" s="8"/>
      <c r="D38" s="8"/>
      <c r="E38" s="8"/>
      <c r="F38" s="8"/>
      <c r="G38" s="8"/>
      <c r="H38" s="8"/>
      <c r="I38" s="8"/>
      <c r="J38" s="15" t="e">
        <f t="shared" si="0"/>
        <v>#DIV/0!</v>
      </c>
      <c r="K38" s="8"/>
      <c r="L38" s="8"/>
      <c r="M38" s="15" t="e">
        <f t="shared" si="1"/>
        <v>#DIV/0!</v>
      </c>
      <c r="N38" s="8"/>
      <c r="O38" s="8"/>
      <c r="P38" s="15" t="e">
        <f t="shared" si="2"/>
        <v>#DIV/0!</v>
      </c>
      <c r="Q38" s="10"/>
      <c r="R38" s="201" t="e">
        <f t="shared" si="3"/>
        <v>#DIV/0!</v>
      </c>
      <c r="S38" s="202"/>
      <c r="T38" s="202"/>
      <c r="U38" s="203"/>
      <c r="V38" s="14" t="e">
        <f t="shared" si="4"/>
        <v>#DIV/0!</v>
      </c>
      <c r="W38" s="10"/>
      <c r="X38" s="10"/>
    </row>
    <row r="39" spans="1:24" ht="15.75" customHeight="1" x14ac:dyDescent="0.25">
      <c r="A39" s="6">
        <v>34</v>
      </c>
      <c r="B39" s="111" t="s">
        <v>864</v>
      </c>
      <c r="C39" s="8"/>
      <c r="D39" s="8"/>
      <c r="E39" s="8"/>
      <c r="F39" s="8"/>
      <c r="G39" s="8"/>
      <c r="H39" s="8"/>
      <c r="I39" s="8"/>
      <c r="J39" s="15" t="e">
        <f t="shared" si="0"/>
        <v>#DIV/0!</v>
      </c>
      <c r="K39" s="8"/>
      <c r="L39" s="8"/>
      <c r="M39" s="15" t="e">
        <f t="shared" si="1"/>
        <v>#DIV/0!</v>
      </c>
      <c r="N39" s="8"/>
      <c r="O39" s="8"/>
      <c r="P39" s="15" t="e">
        <f t="shared" si="2"/>
        <v>#DIV/0!</v>
      </c>
      <c r="Q39" s="10"/>
      <c r="R39" s="201" t="e">
        <f t="shared" si="3"/>
        <v>#DIV/0!</v>
      </c>
      <c r="S39" s="202"/>
      <c r="T39" s="202"/>
      <c r="U39" s="203"/>
      <c r="V39" s="14" t="e">
        <f t="shared" si="4"/>
        <v>#DIV/0!</v>
      </c>
      <c r="W39" s="10"/>
      <c r="X39" s="10"/>
    </row>
    <row r="40" spans="1:24" ht="15.75" customHeight="1" x14ac:dyDescent="0.25">
      <c r="A40" s="6">
        <v>35</v>
      </c>
      <c r="B40" s="111" t="s">
        <v>865</v>
      </c>
      <c r="C40" s="8"/>
      <c r="D40" s="8"/>
      <c r="E40" s="8"/>
      <c r="F40" s="8"/>
      <c r="G40" s="8"/>
      <c r="H40" s="8"/>
      <c r="I40" s="8"/>
      <c r="J40" s="15" t="e">
        <f t="shared" si="0"/>
        <v>#DIV/0!</v>
      </c>
      <c r="K40" s="8"/>
      <c r="L40" s="8"/>
      <c r="M40" s="15" t="e">
        <f t="shared" si="1"/>
        <v>#DIV/0!</v>
      </c>
      <c r="N40" s="8"/>
      <c r="O40" s="8"/>
      <c r="P40" s="15" t="e">
        <f t="shared" si="2"/>
        <v>#DIV/0!</v>
      </c>
      <c r="Q40" s="10"/>
      <c r="R40" s="201" t="e">
        <f t="shared" si="3"/>
        <v>#DIV/0!</v>
      </c>
      <c r="S40" s="202"/>
      <c r="T40" s="202"/>
      <c r="U40" s="203"/>
      <c r="V40" s="14" t="e">
        <f t="shared" si="4"/>
        <v>#DIV/0!</v>
      </c>
      <c r="W40" s="10"/>
      <c r="X40" s="10"/>
    </row>
    <row r="41" spans="1:24" ht="15.75" customHeight="1" x14ac:dyDescent="0.25">
      <c r="A41" s="6">
        <v>36</v>
      </c>
      <c r="B41" s="112"/>
      <c r="C41" s="8"/>
      <c r="D41" s="8"/>
      <c r="E41" s="8"/>
      <c r="F41" s="8"/>
      <c r="G41" s="8"/>
      <c r="H41" s="8"/>
      <c r="I41" s="8"/>
      <c r="J41" s="15" t="e">
        <f t="shared" si="0"/>
        <v>#DIV/0!</v>
      </c>
      <c r="K41" s="8"/>
      <c r="L41" s="8"/>
      <c r="M41" s="15" t="e">
        <f t="shared" si="1"/>
        <v>#DIV/0!</v>
      </c>
      <c r="N41" s="8"/>
      <c r="O41" s="8"/>
      <c r="P41" s="15" t="e">
        <f t="shared" si="2"/>
        <v>#DIV/0!</v>
      </c>
      <c r="Q41" s="10"/>
      <c r="R41" s="201" t="e">
        <f t="shared" si="3"/>
        <v>#DIV/0!</v>
      </c>
      <c r="S41" s="202"/>
      <c r="T41" s="202"/>
      <c r="U41" s="203"/>
      <c r="V41" s="14" t="e">
        <f t="shared" si="4"/>
        <v>#DIV/0!</v>
      </c>
      <c r="W41" s="10"/>
      <c r="X41" s="10"/>
    </row>
    <row r="42" spans="1:24" ht="15.75" customHeight="1" x14ac:dyDescent="0.25">
      <c r="A42" s="6">
        <v>37</v>
      </c>
      <c r="B42" s="111"/>
      <c r="C42" s="8"/>
      <c r="D42" s="8"/>
      <c r="E42" s="8"/>
      <c r="F42" s="8"/>
      <c r="G42" s="8"/>
      <c r="H42" s="8"/>
      <c r="I42" s="8"/>
      <c r="J42" s="15" t="e">
        <f t="shared" si="0"/>
        <v>#DIV/0!</v>
      </c>
      <c r="K42" s="8"/>
      <c r="L42" s="8"/>
      <c r="M42" s="15" t="e">
        <f t="shared" si="1"/>
        <v>#DIV/0!</v>
      </c>
      <c r="N42" s="8"/>
      <c r="O42" s="8"/>
      <c r="P42" s="15" t="e">
        <f t="shared" si="2"/>
        <v>#DIV/0!</v>
      </c>
      <c r="Q42" s="10"/>
      <c r="R42" s="201" t="e">
        <f t="shared" si="3"/>
        <v>#DIV/0!</v>
      </c>
      <c r="S42" s="202"/>
      <c r="T42" s="202"/>
      <c r="U42" s="203"/>
      <c r="V42" s="14" t="e">
        <f t="shared" si="4"/>
        <v>#DIV/0!</v>
      </c>
      <c r="W42" s="10"/>
      <c r="X42" s="10"/>
    </row>
    <row r="43" spans="1:24" ht="15.75" customHeight="1" x14ac:dyDescent="0.25">
      <c r="A43" s="6">
        <v>38</v>
      </c>
      <c r="B43" s="155"/>
      <c r="C43" s="8"/>
      <c r="D43" s="8"/>
      <c r="E43" s="8"/>
      <c r="F43" s="8"/>
      <c r="G43" s="8"/>
      <c r="H43" s="8"/>
      <c r="I43" s="8"/>
      <c r="J43" s="15" t="e">
        <f t="shared" si="0"/>
        <v>#DIV/0!</v>
      </c>
      <c r="K43" s="8"/>
      <c r="L43" s="8"/>
      <c r="M43" s="15" t="e">
        <f t="shared" si="1"/>
        <v>#DIV/0!</v>
      </c>
      <c r="N43" s="8"/>
      <c r="O43" s="8"/>
      <c r="P43" s="15" t="e">
        <f t="shared" si="2"/>
        <v>#DIV/0!</v>
      </c>
      <c r="Q43" s="10"/>
      <c r="R43" s="201" t="e">
        <f t="shared" si="3"/>
        <v>#DIV/0!</v>
      </c>
      <c r="S43" s="202"/>
      <c r="T43" s="202"/>
      <c r="U43" s="203"/>
      <c r="V43" s="14" t="e">
        <f t="shared" si="4"/>
        <v>#DIV/0!</v>
      </c>
      <c r="W43" s="10"/>
      <c r="X43" s="10"/>
    </row>
    <row r="44" spans="1:24" ht="15.75" customHeight="1" x14ac:dyDescent="0.25">
      <c r="A44" s="6">
        <v>39</v>
      </c>
      <c r="B44" s="62"/>
      <c r="C44" s="8"/>
      <c r="D44" s="8"/>
      <c r="E44" s="8"/>
      <c r="F44" s="8"/>
      <c r="G44" s="8"/>
      <c r="H44" s="8"/>
      <c r="I44" s="8"/>
      <c r="J44" s="15" t="e">
        <f t="shared" si="0"/>
        <v>#DIV/0!</v>
      </c>
      <c r="K44" s="8"/>
      <c r="L44" s="8"/>
      <c r="M44" s="15" t="e">
        <f t="shared" si="1"/>
        <v>#DIV/0!</v>
      </c>
      <c r="N44" s="8"/>
      <c r="O44" s="8"/>
      <c r="P44" s="15" t="e">
        <f t="shared" si="2"/>
        <v>#DIV/0!</v>
      </c>
      <c r="Q44" s="10"/>
      <c r="R44" s="201" t="e">
        <f t="shared" si="3"/>
        <v>#DIV/0!</v>
      </c>
      <c r="S44" s="202"/>
      <c r="T44" s="202"/>
      <c r="U44" s="203"/>
      <c r="V44" s="14" t="e">
        <f t="shared" si="4"/>
        <v>#DIV/0!</v>
      </c>
      <c r="W44" s="10"/>
      <c r="X44" s="10"/>
    </row>
    <row r="45" spans="1:24" ht="15.75" customHeight="1" x14ac:dyDescent="0.25">
      <c r="A45" s="6">
        <v>40</v>
      </c>
      <c r="B45" s="7"/>
      <c r="C45" s="8"/>
      <c r="D45" s="8"/>
      <c r="E45" s="8"/>
      <c r="F45" s="8"/>
      <c r="G45" s="8"/>
      <c r="H45" s="8"/>
      <c r="I45" s="8"/>
      <c r="J45" s="15" t="e">
        <f t="shared" si="0"/>
        <v>#DIV/0!</v>
      </c>
      <c r="K45" s="8"/>
      <c r="L45" s="8"/>
      <c r="M45" s="15" t="e">
        <f t="shared" si="1"/>
        <v>#DIV/0!</v>
      </c>
      <c r="N45" s="8"/>
      <c r="O45" s="8"/>
      <c r="P45" s="15" t="e">
        <f t="shared" si="2"/>
        <v>#DIV/0!</v>
      </c>
      <c r="Q45" s="10"/>
      <c r="R45" s="201" t="e">
        <f t="shared" si="3"/>
        <v>#DIV/0!</v>
      </c>
      <c r="S45" s="202"/>
      <c r="T45" s="202"/>
      <c r="U45" s="203"/>
      <c r="V45" s="14" t="e">
        <f t="shared" si="4"/>
        <v>#DIV/0!</v>
      </c>
      <c r="W45" s="10"/>
      <c r="X45" s="10"/>
    </row>
    <row r="46" spans="1:24" ht="15.75" customHeight="1" x14ac:dyDescent="0.25">
      <c r="A46" s="6">
        <v>41</v>
      </c>
      <c r="B46" s="7"/>
      <c r="C46" s="8"/>
      <c r="D46" s="8"/>
      <c r="E46" s="8"/>
      <c r="F46" s="8"/>
      <c r="G46" s="8"/>
      <c r="H46" s="8"/>
      <c r="I46" s="8"/>
      <c r="J46" s="15" t="e">
        <f t="shared" si="0"/>
        <v>#DIV/0!</v>
      </c>
      <c r="K46" s="8"/>
      <c r="L46" s="8"/>
      <c r="M46" s="15" t="e">
        <f t="shared" si="1"/>
        <v>#DIV/0!</v>
      </c>
      <c r="N46" s="8"/>
      <c r="O46" s="8"/>
      <c r="P46" s="15" t="e">
        <f t="shared" si="2"/>
        <v>#DIV/0!</v>
      </c>
      <c r="Q46" s="10"/>
      <c r="R46" s="201" t="e">
        <f t="shared" si="3"/>
        <v>#DIV/0!</v>
      </c>
      <c r="S46" s="202"/>
      <c r="T46" s="202"/>
      <c r="U46" s="203"/>
      <c r="V46" s="14" t="e">
        <f t="shared" si="4"/>
        <v>#DIV/0!</v>
      </c>
      <c r="W46" s="10"/>
      <c r="X46" s="10"/>
    </row>
    <row r="47" spans="1:24" ht="15.75" customHeight="1" x14ac:dyDescent="0.25">
      <c r="A47" s="6">
        <v>42</v>
      </c>
      <c r="B47" s="7"/>
      <c r="C47" s="8"/>
      <c r="D47" s="8"/>
      <c r="E47" s="8"/>
      <c r="F47" s="8"/>
      <c r="G47" s="8"/>
      <c r="H47" s="8"/>
      <c r="I47" s="8"/>
      <c r="J47" s="15" t="e">
        <f t="shared" si="0"/>
        <v>#DIV/0!</v>
      </c>
      <c r="K47" s="8"/>
      <c r="L47" s="8"/>
      <c r="M47" s="15" t="e">
        <f t="shared" si="1"/>
        <v>#DIV/0!</v>
      </c>
      <c r="N47" s="8"/>
      <c r="O47" s="8"/>
      <c r="P47" s="15" t="e">
        <f t="shared" si="2"/>
        <v>#DIV/0!</v>
      </c>
      <c r="Q47" s="10"/>
      <c r="R47" s="201" t="e">
        <f t="shared" si="3"/>
        <v>#DIV/0!</v>
      </c>
      <c r="S47" s="202"/>
      <c r="T47" s="202"/>
      <c r="U47" s="203"/>
      <c r="V47" s="14" t="e">
        <f t="shared" si="4"/>
        <v>#DIV/0!</v>
      </c>
      <c r="W47" s="10"/>
      <c r="X47" s="10"/>
    </row>
    <row r="48" spans="1:24" ht="15.75" customHeight="1" x14ac:dyDescent="0.25">
      <c r="A48" s="6">
        <v>43</v>
      </c>
      <c r="B48" s="7"/>
      <c r="C48" s="8"/>
      <c r="D48" s="8"/>
      <c r="E48" s="8"/>
      <c r="F48" s="8"/>
      <c r="G48" s="8"/>
      <c r="H48" s="8"/>
      <c r="I48" s="8"/>
      <c r="J48" s="15" t="e">
        <f t="shared" si="0"/>
        <v>#DIV/0!</v>
      </c>
      <c r="K48" s="8"/>
      <c r="L48" s="8"/>
      <c r="M48" s="15" t="e">
        <f t="shared" si="1"/>
        <v>#DIV/0!</v>
      </c>
      <c r="N48" s="8"/>
      <c r="O48" s="8"/>
      <c r="P48" s="15" t="e">
        <f t="shared" si="2"/>
        <v>#DIV/0!</v>
      </c>
      <c r="Q48" s="10"/>
      <c r="R48" s="201" t="e">
        <f t="shared" si="3"/>
        <v>#DIV/0!</v>
      </c>
      <c r="S48" s="202"/>
      <c r="T48" s="202"/>
      <c r="U48" s="203"/>
      <c r="V48" s="14" t="e">
        <f t="shared" si="4"/>
        <v>#DIV/0!</v>
      </c>
      <c r="W48" s="10"/>
      <c r="X48" s="10"/>
    </row>
    <row r="49" spans="1:24" ht="15.75" customHeight="1" x14ac:dyDescent="0.25">
      <c r="A49" s="6">
        <v>44</v>
      </c>
      <c r="B49" s="7"/>
      <c r="C49" s="8"/>
      <c r="D49" s="8"/>
      <c r="E49" s="8"/>
      <c r="F49" s="8"/>
      <c r="G49" s="8"/>
      <c r="H49" s="8"/>
      <c r="I49" s="8"/>
      <c r="J49" s="15" t="e">
        <f t="shared" si="0"/>
        <v>#DIV/0!</v>
      </c>
      <c r="K49" s="8"/>
      <c r="L49" s="8"/>
      <c r="M49" s="15" t="e">
        <f t="shared" si="1"/>
        <v>#DIV/0!</v>
      </c>
      <c r="N49" s="8"/>
      <c r="O49" s="8"/>
      <c r="P49" s="15" t="e">
        <f t="shared" si="2"/>
        <v>#DIV/0!</v>
      </c>
      <c r="Q49" s="10"/>
      <c r="R49" s="201" t="e">
        <f t="shared" si="3"/>
        <v>#DIV/0!</v>
      </c>
      <c r="S49" s="202"/>
      <c r="T49" s="202"/>
      <c r="U49" s="203"/>
      <c r="V49" s="14" t="e">
        <f t="shared" si="4"/>
        <v>#DIV/0!</v>
      </c>
      <c r="W49" s="10"/>
      <c r="X49" s="10"/>
    </row>
    <row r="50" spans="1:24" ht="15.75" customHeight="1" x14ac:dyDescent="0.25">
      <c r="A50" s="6">
        <v>45</v>
      </c>
      <c r="B50" s="7"/>
      <c r="C50" s="8"/>
      <c r="D50" s="8"/>
      <c r="E50" s="8"/>
      <c r="F50" s="8"/>
      <c r="G50" s="8"/>
      <c r="H50" s="8"/>
      <c r="I50" s="8"/>
      <c r="J50" s="15" t="e">
        <f t="shared" si="0"/>
        <v>#DIV/0!</v>
      </c>
      <c r="K50" s="8"/>
      <c r="L50" s="8"/>
      <c r="M50" s="15" t="e">
        <f t="shared" si="1"/>
        <v>#DIV/0!</v>
      </c>
      <c r="N50" s="8"/>
      <c r="O50" s="8"/>
      <c r="P50" s="15" t="e">
        <f t="shared" si="2"/>
        <v>#DIV/0!</v>
      </c>
      <c r="Q50" s="10"/>
      <c r="R50" s="201" t="e">
        <f t="shared" si="3"/>
        <v>#DIV/0!</v>
      </c>
      <c r="S50" s="202"/>
      <c r="T50" s="202"/>
      <c r="U50" s="203"/>
      <c r="V50" s="14" t="e">
        <f t="shared" si="4"/>
        <v>#DIV/0!</v>
      </c>
      <c r="W50" s="10"/>
      <c r="X50" s="10"/>
    </row>
    <row r="51" spans="1:24" ht="15.75" customHeight="1" thickBot="1" x14ac:dyDescent="0.3">
      <c r="A51" s="16">
        <v>46</v>
      </c>
      <c r="B51" s="17"/>
      <c r="C51" s="13"/>
      <c r="D51" s="13"/>
      <c r="E51" s="13"/>
      <c r="F51" s="13"/>
      <c r="G51" s="13"/>
      <c r="H51" s="13"/>
      <c r="I51" s="13"/>
      <c r="J51" s="15" t="e">
        <f t="shared" si="0"/>
        <v>#DIV/0!</v>
      </c>
      <c r="K51" s="13"/>
      <c r="L51" s="13"/>
      <c r="M51" s="18" t="e">
        <f t="shared" si="1"/>
        <v>#DIV/0!</v>
      </c>
      <c r="N51" s="13"/>
      <c r="O51" s="13"/>
      <c r="P51" s="18" t="e">
        <f t="shared" si="2"/>
        <v>#DIV/0!</v>
      </c>
      <c r="Q51" s="19"/>
      <c r="R51" s="274" t="e">
        <f t="shared" si="3"/>
        <v>#DIV/0!</v>
      </c>
      <c r="S51" s="275"/>
      <c r="T51" s="275"/>
      <c r="U51" s="276"/>
      <c r="V51" s="20" t="e">
        <f t="shared" si="4"/>
        <v>#DIV/0!</v>
      </c>
      <c r="W51" s="10"/>
      <c r="X51" s="10"/>
    </row>
    <row r="52" spans="1:24" ht="15.75" customHeight="1" x14ac:dyDescent="0.25">
      <c r="A52" s="263"/>
      <c r="B52" s="266"/>
      <c r="C52" s="257"/>
      <c r="D52" s="257"/>
      <c r="E52" s="267"/>
      <c r="F52" s="270"/>
      <c r="G52" s="270"/>
      <c r="H52" s="270"/>
      <c r="I52" s="270"/>
      <c r="J52" s="272"/>
      <c r="K52" s="272"/>
      <c r="L52" s="257"/>
      <c r="M52" s="259"/>
      <c r="N52" s="259"/>
      <c r="O52" s="259"/>
      <c r="P52" s="259"/>
      <c r="Q52" s="261"/>
      <c r="R52" s="277"/>
      <c r="S52" s="278"/>
      <c r="T52" s="279"/>
      <c r="U52" s="283"/>
      <c r="V52" s="284"/>
      <c r="W52" s="255"/>
      <c r="X52" s="181"/>
    </row>
    <row r="53" spans="1:24" ht="15.75" customHeight="1" x14ac:dyDescent="0.25">
      <c r="A53" s="264"/>
      <c r="B53" s="209"/>
      <c r="C53" s="205"/>
      <c r="D53" s="205"/>
      <c r="E53" s="210"/>
      <c r="F53" s="211"/>
      <c r="G53" s="211"/>
      <c r="H53" s="211"/>
      <c r="I53" s="211"/>
      <c r="J53" s="204"/>
      <c r="K53" s="204"/>
      <c r="L53" s="205"/>
      <c r="M53" s="185"/>
      <c r="N53" s="185"/>
      <c r="O53" s="185"/>
      <c r="P53" s="185"/>
      <c r="Q53" s="187"/>
      <c r="R53" s="188"/>
      <c r="S53" s="189"/>
      <c r="T53" s="190"/>
      <c r="U53" s="194"/>
      <c r="V53" s="285"/>
      <c r="W53" s="255"/>
      <c r="X53" s="181"/>
    </row>
    <row r="54" spans="1:24" ht="15.75" customHeight="1" x14ac:dyDescent="0.25">
      <c r="A54" s="264"/>
      <c r="B54" s="183"/>
      <c r="C54" s="205"/>
      <c r="D54" s="205"/>
      <c r="E54" s="210"/>
      <c r="F54" s="211"/>
      <c r="G54" s="211"/>
      <c r="H54" s="211"/>
      <c r="I54" s="211"/>
      <c r="J54" s="204"/>
      <c r="K54" s="204"/>
      <c r="L54" s="205"/>
      <c r="M54" s="185"/>
      <c r="N54" s="185"/>
      <c r="O54" s="185"/>
      <c r="P54" s="185"/>
      <c r="Q54" s="187"/>
      <c r="R54" s="188"/>
      <c r="S54" s="189"/>
      <c r="T54" s="190"/>
      <c r="U54" s="194"/>
      <c r="V54" s="285"/>
      <c r="W54" s="255"/>
      <c r="X54" s="181"/>
    </row>
    <row r="55" spans="1:24" ht="60" customHeight="1" thickBot="1" x14ac:dyDescent="0.3">
      <c r="A55" s="265"/>
      <c r="B55" s="269"/>
      <c r="C55" s="258"/>
      <c r="D55" s="258"/>
      <c r="E55" s="268"/>
      <c r="F55" s="271"/>
      <c r="G55" s="271"/>
      <c r="H55" s="271"/>
      <c r="I55" s="271"/>
      <c r="J55" s="273"/>
      <c r="K55" s="273"/>
      <c r="L55" s="258"/>
      <c r="M55" s="260"/>
      <c r="N55" s="260"/>
      <c r="O55" s="260"/>
      <c r="P55" s="260"/>
      <c r="Q55" s="262"/>
      <c r="R55" s="280"/>
      <c r="S55" s="281"/>
      <c r="T55" s="282"/>
      <c r="U55" s="286"/>
      <c r="V55" s="287"/>
      <c r="W55" s="256"/>
      <c r="X55" s="182"/>
    </row>
    <row r="56" spans="1:24" ht="87.75" customHeight="1" thickBot="1" x14ac:dyDescent="0.3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5"/>
      <c r="Q56" s="216"/>
      <c r="R56" s="217"/>
      <c r="S56" s="217"/>
      <c r="T56" s="217"/>
      <c r="U56" s="217"/>
      <c r="V56" s="217"/>
      <c r="W56" s="217"/>
      <c r="X56" s="217"/>
    </row>
    <row r="57" spans="1:24" ht="15.75" thickBot="1" x14ac:dyDescent="0.3">
      <c r="A57" s="218" t="s">
        <v>18</v>
      </c>
      <c r="B57" s="219"/>
      <c r="C57" s="220" t="s">
        <v>931</v>
      </c>
      <c r="D57" s="221"/>
      <c r="E57" s="221"/>
      <c r="F57" s="221"/>
      <c r="G57" s="221"/>
      <c r="H57" s="221"/>
      <c r="I57" s="222"/>
      <c r="J57" s="223" t="s">
        <v>20</v>
      </c>
      <c r="K57" s="224"/>
      <c r="L57" s="224"/>
      <c r="M57" s="224"/>
      <c r="N57" s="225"/>
      <c r="O57" s="225"/>
      <c r="P57" s="225"/>
      <c r="Q57" s="226"/>
      <c r="R57" s="227" t="s">
        <v>21</v>
      </c>
      <c r="S57" s="228"/>
      <c r="T57" s="228"/>
      <c r="U57" s="228"/>
      <c r="V57" s="228"/>
      <c r="W57" s="228"/>
      <c r="X57" s="229"/>
    </row>
    <row r="58" spans="1:24" ht="20.25" customHeight="1" x14ac:dyDescent="0.25">
      <c r="A58" s="230" t="s">
        <v>0</v>
      </c>
      <c r="B58" s="233" t="s">
        <v>1</v>
      </c>
      <c r="C58" s="235" t="s">
        <v>12</v>
      </c>
      <c r="D58" s="235"/>
      <c r="E58" s="235"/>
      <c r="F58" s="235"/>
      <c r="G58" s="235"/>
      <c r="H58" s="235"/>
      <c r="I58" s="235"/>
      <c r="J58" s="235"/>
      <c r="K58" s="236" t="s">
        <v>13</v>
      </c>
      <c r="L58" s="237"/>
      <c r="M58" s="237"/>
      <c r="N58" s="240" t="s">
        <v>15</v>
      </c>
      <c r="O58" s="240"/>
      <c r="P58" s="240"/>
      <c r="Q58" s="241" t="s">
        <v>4</v>
      </c>
      <c r="R58" s="244" t="s">
        <v>11</v>
      </c>
      <c r="S58" s="244"/>
      <c r="T58" s="244"/>
      <c r="U58" s="244"/>
      <c r="V58" s="244"/>
      <c r="W58" s="246" t="s">
        <v>2</v>
      </c>
      <c r="X58" s="247"/>
    </row>
    <row r="59" spans="1:24" ht="15" customHeight="1" x14ac:dyDescent="0.25">
      <c r="A59" s="231"/>
      <c r="B59" s="181"/>
      <c r="C59" s="248" t="s">
        <v>6</v>
      </c>
      <c r="D59" s="248" t="s">
        <v>17</v>
      </c>
      <c r="E59" s="248" t="s">
        <v>5</v>
      </c>
      <c r="F59" s="250"/>
      <c r="G59" s="250"/>
      <c r="H59" s="250"/>
      <c r="I59" s="251" t="s">
        <v>16</v>
      </c>
      <c r="J59" s="253" t="s">
        <v>14</v>
      </c>
      <c r="K59" s="238"/>
      <c r="L59" s="239"/>
      <c r="M59" s="239"/>
      <c r="N59" s="240"/>
      <c r="O59" s="240"/>
      <c r="P59" s="240"/>
      <c r="Q59" s="242"/>
      <c r="R59" s="245"/>
      <c r="S59" s="245"/>
      <c r="T59" s="245"/>
      <c r="U59" s="245"/>
      <c r="V59" s="245"/>
      <c r="W59" s="187"/>
      <c r="X59" s="187"/>
    </row>
    <row r="60" spans="1:24" ht="45" customHeight="1" thickBot="1" x14ac:dyDescent="0.3">
      <c r="A60" s="232"/>
      <c r="B60" s="234"/>
      <c r="C60" s="249"/>
      <c r="D60" s="249"/>
      <c r="E60" s="249"/>
      <c r="F60" s="249"/>
      <c r="G60" s="249"/>
      <c r="H60" s="249"/>
      <c r="I60" s="252"/>
      <c r="J60" s="254"/>
      <c r="K60" s="2" t="s">
        <v>9</v>
      </c>
      <c r="L60" s="2" t="s">
        <v>10</v>
      </c>
      <c r="M60" s="21" t="s">
        <v>3</v>
      </c>
      <c r="N60" s="2" t="s">
        <v>9</v>
      </c>
      <c r="O60" s="2" t="s">
        <v>10</v>
      </c>
      <c r="P60" s="22" t="s">
        <v>3</v>
      </c>
      <c r="Q60" s="243"/>
      <c r="R60" s="198" t="s">
        <v>7</v>
      </c>
      <c r="S60" s="199"/>
      <c r="T60" s="199"/>
      <c r="U60" s="200"/>
      <c r="V60" s="23" t="s">
        <v>8</v>
      </c>
      <c r="W60" s="5">
        <v>1</v>
      </c>
      <c r="X60" s="5">
        <v>2</v>
      </c>
    </row>
    <row r="61" spans="1:24" x14ac:dyDescent="0.25">
      <c r="A61" s="6">
        <v>1</v>
      </c>
      <c r="B61" s="156" t="s">
        <v>866</v>
      </c>
      <c r="C61" s="8"/>
      <c r="D61" s="8"/>
      <c r="E61" s="8"/>
      <c r="F61" s="8"/>
      <c r="G61" s="8"/>
      <c r="H61" s="8"/>
      <c r="I61" s="9"/>
      <c r="J61" s="15" t="e">
        <f>((AVERAGE(C61:H61))*72%)+I61*8%</f>
        <v>#DIV/0!</v>
      </c>
      <c r="K61" s="8"/>
      <c r="L61" s="8"/>
      <c r="M61" s="15" t="e">
        <f>(AVERAGE(K61:L61))*10%</f>
        <v>#DIV/0!</v>
      </c>
      <c r="N61" s="9"/>
      <c r="O61" s="9"/>
      <c r="P61" s="15" t="e">
        <f>(AVERAGE(N61:O61))*10%</f>
        <v>#DIV/0!</v>
      </c>
      <c r="Q61" s="8"/>
      <c r="R61" s="201" t="e">
        <f>IF(V61&lt;65,"BAJO",IF(V61&lt;=79,"BASICO",IF(V61&lt;=89,"ALTO",IF(V61&lt;=100,"SUPERIOR"))))</f>
        <v>#DIV/0!</v>
      </c>
      <c r="S61" s="202"/>
      <c r="T61" s="202"/>
      <c r="U61" s="203"/>
      <c r="V61" s="14" t="e">
        <f>J61+M61+P61</f>
        <v>#DIV/0!</v>
      </c>
      <c r="W61" s="10"/>
      <c r="X61" s="10"/>
    </row>
    <row r="62" spans="1:24" x14ac:dyDescent="0.25">
      <c r="A62" s="6">
        <v>2</v>
      </c>
      <c r="B62" s="157" t="s">
        <v>867</v>
      </c>
      <c r="C62" s="8"/>
      <c r="D62" s="8"/>
      <c r="E62" s="8"/>
      <c r="F62" s="8"/>
      <c r="G62" s="8"/>
      <c r="H62" s="8"/>
      <c r="I62" s="9"/>
      <c r="J62" s="15" t="e">
        <f t="shared" ref="J62:J103" si="5">((AVERAGE(C62:H62))*72%)+I62*8%</f>
        <v>#DIV/0!</v>
      </c>
      <c r="K62" s="8"/>
      <c r="L62" s="8"/>
      <c r="M62" s="15" t="e">
        <f t="shared" ref="M62:M103" si="6">(AVERAGE(K62:L62))*10%</f>
        <v>#DIV/0!</v>
      </c>
      <c r="N62" s="8"/>
      <c r="O62" s="8"/>
      <c r="P62" s="15" t="e">
        <f t="shared" ref="P62:P103" si="7">(AVERAGE(N62:O62))*10%</f>
        <v>#DIV/0!</v>
      </c>
      <c r="Q62" s="11"/>
      <c r="R62" s="201" t="e">
        <f t="shared" ref="R62:R103" si="8">IF(V62&lt;65,"BAJO",IF(V62&lt;=79,"BASICO",IF(V62&lt;=89,"ALTO",IF(V62&lt;=100,"SUPERIOR"))))</f>
        <v>#DIV/0!</v>
      </c>
      <c r="S62" s="202"/>
      <c r="T62" s="202"/>
      <c r="U62" s="203"/>
      <c r="V62" s="14" t="e">
        <f t="shared" ref="V62:V103" si="9">J62+M62+P62</f>
        <v>#DIV/0!</v>
      </c>
      <c r="W62" s="10"/>
      <c r="X62" s="10"/>
    </row>
    <row r="63" spans="1:24" x14ac:dyDescent="0.25">
      <c r="A63" s="6">
        <v>3</v>
      </c>
      <c r="B63" s="111" t="s">
        <v>868</v>
      </c>
      <c r="C63" s="8"/>
      <c r="D63" s="8"/>
      <c r="E63" s="8"/>
      <c r="F63" s="8"/>
      <c r="G63" s="8"/>
      <c r="H63" s="8"/>
      <c r="I63" s="9"/>
      <c r="J63" s="15" t="e">
        <f t="shared" si="5"/>
        <v>#DIV/0!</v>
      </c>
      <c r="K63" s="8"/>
      <c r="L63" s="8"/>
      <c r="M63" s="15" t="e">
        <f t="shared" si="6"/>
        <v>#DIV/0!</v>
      </c>
      <c r="N63" s="8"/>
      <c r="O63" s="8"/>
      <c r="P63" s="15" t="e">
        <f t="shared" si="7"/>
        <v>#DIV/0!</v>
      </c>
      <c r="Q63" s="11"/>
      <c r="R63" s="201" t="e">
        <f t="shared" si="8"/>
        <v>#DIV/0!</v>
      </c>
      <c r="S63" s="202"/>
      <c r="T63" s="202"/>
      <c r="U63" s="203"/>
      <c r="V63" s="14" t="e">
        <f t="shared" si="9"/>
        <v>#DIV/0!</v>
      </c>
      <c r="W63" s="10"/>
      <c r="X63" s="10"/>
    </row>
    <row r="64" spans="1:24" x14ac:dyDescent="0.25">
      <c r="A64" s="6">
        <v>4</v>
      </c>
      <c r="B64" s="111" t="s">
        <v>869</v>
      </c>
      <c r="C64" s="8"/>
      <c r="D64" s="8"/>
      <c r="E64" s="8"/>
      <c r="F64" s="8"/>
      <c r="G64" s="8"/>
      <c r="H64" s="8"/>
      <c r="I64" s="8"/>
      <c r="J64" s="15" t="e">
        <f t="shared" si="5"/>
        <v>#DIV/0!</v>
      </c>
      <c r="K64" s="8"/>
      <c r="L64" s="8"/>
      <c r="M64" s="15" t="e">
        <f t="shared" si="6"/>
        <v>#DIV/0!</v>
      </c>
      <c r="N64" s="8"/>
      <c r="O64" s="8"/>
      <c r="P64" s="15" t="e">
        <f t="shared" si="7"/>
        <v>#DIV/0!</v>
      </c>
      <c r="Q64" s="11"/>
      <c r="R64" s="201" t="e">
        <f t="shared" si="8"/>
        <v>#DIV/0!</v>
      </c>
      <c r="S64" s="202"/>
      <c r="T64" s="202"/>
      <c r="U64" s="203"/>
      <c r="V64" s="14" t="e">
        <f t="shared" si="9"/>
        <v>#DIV/0!</v>
      </c>
      <c r="W64" s="10"/>
      <c r="X64" s="10"/>
    </row>
    <row r="65" spans="1:24" x14ac:dyDescent="0.25">
      <c r="A65" s="6">
        <v>5</v>
      </c>
      <c r="B65" s="111" t="s">
        <v>870</v>
      </c>
      <c r="C65" s="8"/>
      <c r="D65" s="8"/>
      <c r="E65" s="8"/>
      <c r="F65" s="8"/>
      <c r="G65" s="8"/>
      <c r="H65" s="8"/>
      <c r="I65" s="8"/>
      <c r="J65" s="15" t="e">
        <f t="shared" si="5"/>
        <v>#DIV/0!</v>
      </c>
      <c r="K65" s="8"/>
      <c r="L65" s="8"/>
      <c r="M65" s="15" t="e">
        <f t="shared" si="6"/>
        <v>#DIV/0!</v>
      </c>
      <c r="N65" s="8"/>
      <c r="O65" s="8"/>
      <c r="P65" s="15" t="e">
        <f t="shared" si="7"/>
        <v>#DIV/0!</v>
      </c>
      <c r="Q65" s="10"/>
      <c r="R65" s="201" t="e">
        <f t="shared" si="8"/>
        <v>#DIV/0!</v>
      </c>
      <c r="S65" s="202"/>
      <c r="T65" s="202"/>
      <c r="U65" s="203"/>
      <c r="V65" s="14" t="e">
        <f t="shared" si="9"/>
        <v>#DIV/0!</v>
      </c>
      <c r="W65" s="10"/>
      <c r="X65" s="10"/>
    </row>
    <row r="66" spans="1:24" x14ac:dyDescent="0.25">
      <c r="A66" s="6">
        <v>6</v>
      </c>
      <c r="B66" s="111" t="s">
        <v>871</v>
      </c>
      <c r="C66" s="8"/>
      <c r="D66" s="8"/>
      <c r="E66" s="8"/>
      <c r="F66" s="8"/>
      <c r="G66" s="8"/>
      <c r="H66" s="8"/>
      <c r="I66" s="8"/>
      <c r="J66" s="15" t="e">
        <f t="shared" si="5"/>
        <v>#DIV/0!</v>
      </c>
      <c r="K66" s="8"/>
      <c r="L66" s="8"/>
      <c r="M66" s="15" t="e">
        <f t="shared" si="6"/>
        <v>#DIV/0!</v>
      </c>
      <c r="N66" s="8"/>
      <c r="O66" s="8"/>
      <c r="P66" s="15" t="e">
        <f t="shared" si="7"/>
        <v>#DIV/0!</v>
      </c>
      <c r="Q66" s="10"/>
      <c r="R66" s="201" t="e">
        <f t="shared" si="8"/>
        <v>#DIV/0!</v>
      </c>
      <c r="S66" s="202"/>
      <c r="T66" s="202"/>
      <c r="U66" s="203"/>
      <c r="V66" s="14" t="e">
        <f t="shared" si="9"/>
        <v>#DIV/0!</v>
      </c>
      <c r="W66" s="10"/>
      <c r="X66" s="10"/>
    </row>
    <row r="67" spans="1:24" x14ac:dyDescent="0.25">
      <c r="A67" s="6">
        <v>7</v>
      </c>
      <c r="B67" s="111" t="s">
        <v>872</v>
      </c>
      <c r="C67" s="8"/>
      <c r="D67" s="8"/>
      <c r="E67" s="8"/>
      <c r="F67" s="8"/>
      <c r="G67" s="8"/>
      <c r="H67" s="8"/>
      <c r="I67" s="8"/>
      <c r="J67" s="15" t="e">
        <f t="shared" si="5"/>
        <v>#DIV/0!</v>
      </c>
      <c r="K67" s="8"/>
      <c r="L67" s="8"/>
      <c r="M67" s="15" t="e">
        <f t="shared" si="6"/>
        <v>#DIV/0!</v>
      </c>
      <c r="N67" s="8"/>
      <c r="O67" s="8"/>
      <c r="P67" s="15" t="e">
        <f t="shared" si="7"/>
        <v>#DIV/0!</v>
      </c>
      <c r="Q67" s="10"/>
      <c r="R67" s="201" t="e">
        <f t="shared" si="8"/>
        <v>#DIV/0!</v>
      </c>
      <c r="S67" s="202"/>
      <c r="T67" s="202"/>
      <c r="U67" s="203"/>
      <c r="V67" s="14" t="e">
        <f t="shared" si="9"/>
        <v>#DIV/0!</v>
      </c>
      <c r="W67" s="10"/>
      <c r="X67" s="10"/>
    </row>
    <row r="68" spans="1:24" x14ac:dyDescent="0.25">
      <c r="A68" s="6">
        <v>8</v>
      </c>
      <c r="B68" s="111" t="s">
        <v>873</v>
      </c>
      <c r="C68" s="8"/>
      <c r="D68" s="8"/>
      <c r="E68" s="8"/>
      <c r="F68" s="8"/>
      <c r="G68" s="8"/>
      <c r="H68" s="8"/>
      <c r="I68" s="8"/>
      <c r="J68" s="15" t="e">
        <f t="shared" si="5"/>
        <v>#DIV/0!</v>
      </c>
      <c r="K68" s="8"/>
      <c r="L68" s="8"/>
      <c r="M68" s="15" t="e">
        <f t="shared" si="6"/>
        <v>#DIV/0!</v>
      </c>
      <c r="N68" s="8"/>
      <c r="O68" s="8"/>
      <c r="P68" s="15" t="e">
        <f t="shared" si="7"/>
        <v>#DIV/0!</v>
      </c>
      <c r="Q68" s="10"/>
      <c r="R68" s="201" t="e">
        <f t="shared" si="8"/>
        <v>#DIV/0!</v>
      </c>
      <c r="S68" s="202"/>
      <c r="T68" s="202"/>
      <c r="U68" s="203"/>
      <c r="V68" s="14" t="e">
        <f t="shared" si="9"/>
        <v>#DIV/0!</v>
      </c>
      <c r="W68" s="10"/>
      <c r="X68" s="10"/>
    </row>
    <row r="69" spans="1:24" x14ac:dyDescent="0.25">
      <c r="A69" s="6">
        <v>9</v>
      </c>
      <c r="B69" s="111" t="s">
        <v>874</v>
      </c>
      <c r="C69" s="8"/>
      <c r="D69" s="8"/>
      <c r="E69" s="8"/>
      <c r="F69" s="8"/>
      <c r="G69" s="8"/>
      <c r="H69" s="8"/>
      <c r="I69" s="8"/>
      <c r="J69" s="15" t="e">
        <f t="shared" si="5"/>
        <v>#DIV/0!</v>
      </c>
      <c r="K69" s="8"/>
      <c r="L69" s="8"/>
      <c r="M69" s="15" t="e">
        <f t="shared" si="6"/>
        <v>#DIV/0!</v>
      </c>
      <c r="N69" s="8"/>
      <c r="O69" s="8"/>
      <c r="P69" s="15" t="e">
        <f t="shared" si="7"/>
        <v>#DIV/0!</v>
      </c>
      <c r="Q69" s="10"/>
      <c r="R69" s="201" t="e">
        <f t="shared" si="8"/>
        <v>#DIV/0!</v>
      </c>
      <c r="S69" s="202"/>
      <c r="T69" s="202"/>
      <c r="U69" s="203"/>
      <c r="V69" s="14" t="e">
        <f t="shared" si="9"/>
        <v>#DIV/0!</v>
      </c>
      <c r="W69" s="10"/>
      <c r="X69" s="10"/>
    </row>
    <row r="70" spans="1:24" x14ac:dyDescent="0.25">
      <c r="A70" s="6">
        <v>10</v>
      </c>
      <c r="B70" s="111" t="s">
        <v>875</v>
      </c>
      <c r="C70" s="8"/>
      <c r="D70" s="8"/>
      <c r="E70" s="8"/>
      <c r="F70" s="8"/>
      <c r="G70" s="8"/>
      <c r="H70" s="8"/>
      <c r="I70" s="8"/>
      <c r="J70" s="15" t="e">
        <f t="shared" si="5"/>
        <v>#DIV/0!</v>
      </c>
      <c r="K70" s="8"/>
      <c r="L70" s="8"/>
      <c r="M70" s="15" t="e">
        <f t="shared" si="6"/>
        <v>#DIV/0!</v>
      </c>
      <c r="N70" s="8"/>
      <c r="O70" s="8"/>
      <c r="P70" s="15" t="e">
        <f t="shared" si="7"/>
        <v>#DIV/0!</v>
      </c>
      <c r="Q70" s="10"/>
      <c r="R70" s="201" t="e">
        <f t="shared" si="8"/>
        <v>#DIV/0!</v>
      </c>
      <c r="S70" s="202"/>
      <c r="T70" s="202"/>
      <c r="U70" s="203"/>
      <c r="V70" s="14" t="e">
        <f t="shared" si="9"/>
        <v>#DIV/0!</v>
      </c>
      <c r="W70" s="10"/>
      <c r="X70" s="10"/>
    </row>
    <row r="71" spans="1:24" x14ac:dyDescent="0.25">
      <c r="A71" s="6">
        <v>11</v>
      </c>
      <c r="B71" s="111" t="s">
        <v>876</v>
      </c>
      <c r="C71" s="8"/>
      <c r="D71" s="8"/>
      <c r="E71" s="8"/>
      <c r="F71" s="8"/>
      <c r="G71" s="8"/>
      <c r="H71" s="8"/>
      <c r="I71" s="8"/>
      <c r="J71" s="15" t="e">
        <f t="shared" si="5"/>
        <v>#DIV/0!</v>
      </c>
      <c r="K71" s="8"/>
      <c r="L71" s="8"/>
      <c r="M71" s="15" t="e">
        <f t="shared" si="6"/>
        <v>#DIV/0!</v>
      </c>
      <c r="N71" s="8"/>
      <c r="O71" s="8"/>
      <c r="P71" s="15" t="e">
        <f t="shared" si="7"/>
        <v>#DIV/0!</v>
      </c>
      <c r="Q71" s="10"/>
      <c r="R71" s="201" t="e">
        <f t="shared" si="8"/>
        <v>#DIV/0!</v>
      </c>
      <c r="S71" s="202"/>
      <c r="T71" s="202"/>
      <c r="U71" s="203"/>
      <c r="V71" s="14" t="e">
        <f t="shared" si="9"/>
        <v>#DIV/0!</v>
      </c>
      <c r="W71" s="10"/>
      <c r="X71" s="10"/>
    </row>
    <row r="72" spans="1:24" x14ac:dyDescent="0.25">
      <c r="A72" s="6">
        <v>12</v>
      </c>
      <c r="B72" s="111" t="s">
        <v>877</v>
      </c>
      <c r="C72" s="8"/>
      <c r="D72" s="8"/>
      <c r="E72" s="8"/>
      <c r="F72" s="8"/>
      <c r="G72" s="8"/>
      <c r="H72" s="8"/>
      <c r="I72" s="8"/>
      <c r="J72" s="15" t="e">
        <f t="shared" si="5"/>
        <v>#DIV/0!</v>
      </c>
      <c r="K72" s="8"/>
      <c r="L72" s="8"/>
      <c r="M72" s="15" t="e">
        <f t="shared" si="6"/>
        <v>#DIV/0!</v>
      </c>
      <c r="N72" s="8"/>
      <c r="O72" s="8"/>
      <c r="P72" s="15" t="e">
        <f t="shared" si="7"/>
        <v>#DIV/0!</v>
      </c>
      <c r="Q72" s="10"/>
      <c r="R72" s="201" t="e">
        <f t="shared" si="8"/>
        <v>#DIV/0!</v>
      </c>
      <c r="S72" s="202"/>
      <c r="T72" s="202"/>
      <c r="U72" s="203"/>
      <c r="V72" s="14" t="e">
        <f t="shared" si="9"/>
        <v>#DIV/0!</v>
      </c>
      <c r="W72" s="10"/>
      <c r="X72" s="10"/>
    </row>
    <row r="73" spans="1:24" x14ac:dyDescent="0.25">
      <c r="A73" s="6">
        <v>13</v>
      </c>
      <c r="B73" s="111" t="s">
        <v>878</v>
      </c>
      <c r="C73" s="8"/>
      <c r="D73" s="8"/>
      <c r="E73" s="8"/>
      <c r="F73" s="8"/>
      <c r="G73" s="8"/>
      <c r="H73" s="8"/>
      <c r="I73" s="8"/>
      <c r="J73" s="15" t="e">
        <f t="shared" si="5"/>
        <v>#DIV/0!</v>
      </c>
      <c r="K73" s="8"/>
      <c r="L73" s="8"/>
      <c r="M73" s="15" t="e">
        <f t="shared" si="6"/>
        <v>#DIV/0!</v>
      </c>
      <c r="N73" s="8"/>
      <c r="O73" s="8"/>
      <c r="P73" s="15" t="e">
        <f t="shared" si="7"/>
        <v>#DIV/0!</v>
      </c>
      <c r="Q73" s="10"/>
      <c r="R73" s="201" t="e">
        <f t="shared" si="8"/>
        <v>#DIV/0!</v>
      </c>
      <c r="S73" s="202"/>
      <c r="T73" s="202"/>
      <c r="U73" s="203"/>
      <c r="V73" s="14" t="e">
        <f t="shared" si="9"/>
        <v>#DIV/0!</v>
      </c>
      <c r="W73" s="10"/>
      <c r="X73" s="10"/>
    </row>
    <row r="74" spans="1:24" x14ac:dyDescent="0.25">
      <c r="A74" s="6">
        <v>14</v>
      </c>
      <c r="B74" s="111" t="s">
        <v>879</v>
      </c>
      <c r="C74" s="8"/>
      <c r="D74" s="8"/>
      <c r="E74" s="8"/>
      <c r="F74" s="8"/>
      <c r="G74" s="8"/>
      <c r="H74" s="8"/>
      <c r="I74" s="8"/>
      <c r="J74" s="15" t="e">
        <f t="shared" si="5"/>
        <v>#DIV/0!</v>
      </c>
      <c r="K74" s="8"/>
      <c r="L74" s="8"/>
      <c r="M74" s="15" t="e">
        <f t="shared" si="6"/>
        <v>#DIV/0!</v>
      </c>
      <c r="N74" s="8"/>
      <c r="O74" s="8"/>
      <c r="P74" s="15" t="e">
        <f t="shared" si="7"/>
        <v>#DIV/0!</v>
      </c>
      <c r="Q74" s="10"/>
      <c r="R74" s="201" t="e">
        <f t="shared" si="8"/>
        <v>#DIV/0!</v>
      </c>
      <c r="S74" s="202"/>
      <c r="T74" s="202"/>
      <c r="U74" s="203"/>
      <c r="V74" s="14" t="e">
        <f t="shared" si="9"/>
        <v>#DIV/0!</v>
      </c>
      <c r="W74" s="10"/>
      <c r="X74" s="10"/>
    </row>
    <row r="75" spans="1:24" x14ac:dyDescent="0.25">
      <c r="A75" s="6">
        <v>15</v>
      </c>
      <c r="B75" s="111" t="s">
        <v>28</v>
      </c>
      <c r="C75" s="8"/>
      <c r="D75" s="8"/>
      <c r="E75" s="8"/>
      <c r="F75" s="8"/>
      <c r="G75" s="8"/>
      <c r="H75" s="8"/>
      <c r="I75" s="8"/>
      <c r="J75" s="15" t="e">
        <f t="shared" si="5"/>
        <v>#DIV/0!</v>
      </c>
      <c r="K75" s="8"/>
      <c r="L75" s="8"/>
      <c r="M75" s="15" t="e">
        <f t="shared" si="6"/>
        <v>#DIV/0!</v>
      </c>
      <c r="N75" s="8"/>
      <c r="O75" s="8"/>
      <c r="P75" s="15" t="e">
        <f t="shared" si="7"/>
        <v>#DIV/0!</v>
      </c>
      <c r="Q75" s="10"/>
      <c r="R75" s="201" t="e">
        <f t="shared" si="8"/>
        <v>#DIV/0!</v>
      </c>
      <c r="S75" s="202"/>
      <c r="T75" s="202"/>
      <c r="U75" s="203"/>
      <c r="V75" s="14" t="e">
        <f t="shared" si="9"/>
        <v>#DIV/0!</v>
      </c>
      <c r="W75" s="10"/>
      <c r="X75" s="10"/>
    </row>
    <row r="76" spans="1:24" ht="15.75" customHeight="1" x14ac:dyDescent="0.25">
      <c r="A76" s="6">
        <v>16</v>
      </c>
      <c r="B76" s="111" t="s">
        <v>880</v>
      </c>
      <c r="C76" s="8"/>
      <c r="D76" s="8"/>
      <c r="E76" s="8"/>
      <c r="F76" s="8"/>
      <c r="G76" s="8"/>
      <c r="H76" s="8"/>
      <c r="I76" s="8"/>
      <c r="J76" s="15" t="e">
        <f t="shared" si="5"/>
        <v>#DIV/0!</v>
      </c>
      <c r="K76" s="8"/>
      <c r="L76" s="8"/>
      <c r="M76" s="15" t="e">
        <f t="shared" si="6"/>
        <v>#DIV/0!</v>
      </c>
      <c r="N76" s="8"/>
      <c r="O76" s="8"/>
      <c r="P76" s="15" t="e">
        <f t="shared" si="7"/>
        <v>#DIV/0!</v>
      </c>
      <c r="Q76" s="10"/>
      <c r="R76" s="201" t="e">
        <f t="shared" si="8"/>
        <v>#DIV/0!</v>
      </c>
      <c r="S76" s="202"/>
      <c r="T76" s="202"/>
      <c r="U76" s="203"/>
      <c r="V76" s="14" t="e">
        <f t="shared" si="9"/>
        <v>#DIV/0!</v>
      </c>
      <c r="W76" s="10"/>
      <c r="X76" s="10"/>
    </row>
    <row r="77" spans="1:24" ht="15.75" customHeight="1" x14ac:dyDescent="0.25">
      <c r="A77" s="6">
        <v>17</v>
      </c>
      <c r="B77" s="111" t="s">
        <v>881</v>
      </c>
      <c r="C77" s="8"/>
      <c r="D77" s="8"/>
      <c r="E77" s="8"/>
      <c r="F77" s="8"/>
      <c r="G77" s="8"/>
      <c r="H77" s="8"/>
      <c r="I77" s="13"/>
      <c r="J77" s="15" t="e">
        <f t="shared" si="5"/>
        <v>#DIV/0!</v>
      </c>
      <c r="K77" s="8"/>
      <c r="L77" s="8"/>
      <c r="M77" s="15" t="e">
        <f t="shared" si="6"/>
        <v>#DIV/0!</v>
      </c>
      <c r="N77" s="8"/>
      <c r="O77" s="8"/>
      <c r="P77" s="15" t="e">
        <f t="shared" si="7"/>
        <v>#DIV/0!</v>
      </c>
      <c r="Q77" s="10"/>
      <c r="R77" s="201" t="e">
        <f t="shared" si="8"/>
        <v>#DIV/0!</v>
      </c>
      <c r="S77" s="202"/>
      <c r="T77" s="202"/>
      <c r="U77" s="203"/>
      <c r="V77" s="14" t="e">
        <f t="shared" si="9"/>
        <v>#DIV/0!</v>
      </c>
      <c r="W77" s="10"/>
      <c r="X77" s="10"/>
    </row>
    <row r="78" spans="1:24" ht="15.75" customHeight="1" x14ac:dyDescent="0.25">
      <c r="A78" s="6">
        <v>18</v>
      </c>
      <c r="B78" s="111" t="s">
        <v>56</v>
      </c>
      <c r="C78" s="8"/>
      <c r="D78" s="8"/>
      <c r="E78" s="8"/>
      <c r="F78" s="8"/>
      <c r="G78" s="8"/>
      <c r="H78" s="8"/>
      <c r="I78" s="8"/>
      <c r="J78" s="15" t="e">
        <f t="shared" si="5"/>
        <v>#DIV/0!</v>
      </c>
      <c r="K78" s="8"/>
      <c r="L78" s="8"/>
      <c r="M78" s="15" t="e">
        <f t="shared" si="6"/>
        <v>#DIV/0!</v>
      </c>
      <c r="N78" s="8"/>
      <c r="O78" s="8"/>
      <c r="P78" s="15" t="e">
        <f t="shared" si="7"/>
        <v>#DIV/0!</v>
      </c>
      <c r="Q78" s="10"/>
      <c r="R78" s="201" t="e">
        <f t="shared" si="8"/>
        <v>#DIV/0!</v>
      </c>
      <c r="S78" s="202"/>
      <c r="T78" s="202"/>
      <c r="U78" s="203"/>
      <c r="V78" s="14" t="e">
        <f t="shared" si="9"/>
        <v>#DIV/0!</v>
      </c>
      <c r="W78" s="10"/>
      <c r="X78" s="10"/>
    </row>
    <row r="79" spans="1:24" ht="15.75" customHeight="1" x14ac:dyDescent="0.25">
      <c r="A79" s="6">
        <v>19</v>
      </c>
      <c r="B79" s="111" t="s">
        <v>50</v>
      </c>
      <c r="C79" s="8"/>
      <c r="D79" s="8"/>
      <c r="E79" s="8"/>
      <c r="F79" s="8"/>
      <c r="G79" s="8"/>
      <c r="H79" s="8"/>
      <c r="I79" s="8"/>
      <c r="J79" s="15" t="e">
        <f t="shared" si="5"/>
        <v>#DIV/0!</v>
      </c>
      <c r="K79" s="8"/>
      <c r="L79" s="8"/>
      <c r="M79" s="15" t="e">
        <f t="shared" si="6"/>
        <v>#DIV/0!</v>
      </c>
      <c r="N79" s="8"/>
      <c r="O79" s="8"/>
      <c r="P79" s="15" t="e">
        <f t="shared" si="7"/>
        <v>#DIV/0!</v>
      </c>
      <c r="Q79" s="10"/>
      <c r="R79" s="201" t="e">
        <f t="shared" si="8"/>
        <v>#DIV/0!</v>
      </c>
      <c r="S79" s="202"/>
      <c r="T79" s="202"/>
      <c r="U79" s="203"/>
      <c r="V79" s="14" t="e">
        <f t="shared" si="9"/>
        <v>#DIV/0!</v>
      </c>
      <c r="W79" s="10"/>
      <c r="X79" s="10"/>
    </row>
    <row r="80" spans="1:24" ht="15.75" customHeight="1" x14ac:dyDescent="0.25">
      <c r="A80" s="6">
        <v>20</v>
      </c>
      <c r="B80" s="111" t="s">
        <v>882</v>
      </c>
      <c r="C80" s="8"/>
      <c r="D80" s="8"/>
      <c r="E80" s="8"/>
      <c r="F80" s="8"/>
      <c r="G80" s="8"/>
      <c r="H80" s="8"/>
      <c r="I80" s="8"/>
      <c r="J80" s="15" t="e">
        <f t="shared" si="5"/>
        <v>#DIV/0!</v>
      </c>
      <c r="K80" s="8"/>
      <c r="L80" s="8"/>
      <c r="M80" s="15" t="e">
        <f t="shared" si="6"/>
        <v>#DIV/0!</v>
      </c>
      <c r="N80" s="8"/>
      <c r="O80" s="8"/>
      <c r="P80" s="15" t="e">
        <f t="shared" si="7"/>
        <v>#DIV/0!</v>
      </c>
      <c r="Q80" s="10"/>
      <c r="R80" s="201" t="e">
        <f t="shared" si="8"/>
        <v>#DIV/0!</v>
      </c>
      <c r="S80" s="202"/>
      <c r="T80" s="202"/>
      <c r="U80" s="203"/>
      <c r="V80" s="14" t="e">
        <f t="shared" si="9"/>
        <v>#DIV/0!</v>
      </c>
      <c r="W80" s="10"/>
      <c r="X80" s="10"/>
    </row>
    <row r="81" spans="1:24" ht="15.75" customHeight="1" x14ac:dyDescent="0.25">
      <c r="A81" s="6">
        <v>21</v>
      </c>
      <c r="B81" s="111" t="s">
        <v>51</v>
      </c>
      <c r="C81" s="8"/>
      <c r="D81" s="8"/>
      <c r="E81" s="8"/>
      <c r="F81" s="8"/>
      <c r="G81" s="8"/>
      <c r="H81" s="8"/>
      <c r="I81" s="8"/>
      <c r="J81" s="15" t="e">
        <f t="shared" si="5"/>
        <v>#DIV/0!</v>
      </c>
      <c r="K81" s="8"/>
      <c r="L81" s="8"/>
      <c r="M81" s="15" t="e">
        <f t="shared" si="6"/>
        <v>#DIV/0!</v>
      </c>
      <c r="N81" s="8"/>
      <c r="O81" s="8"/>
      <c r="P81" s="15" t="e">
        <f t="shared" si="7"/>
        <v>#DIV/0!</v>
      </c>
      <c r="Q81" s="10"/>
      <c r="R81" s="201" t="e">
        <f t="shared" si="8"/>
        <v>#DIV/0!</v>
      </c>
      <c r="S81" s="202"/>
      <c r="T81" s="202"/>
      <c r="U81" s="203"/>
      <c r="V81" s="14" t="e">
        <f t="shared" si="9"/>
        <v>#DIV/0!</v>
      </c>
      <c r="W81" s="10"/>
      <c r="X81" s="10"/>
    </row>
    <row r="82" spans="1:24" ht="15.75" customHeight="1" x14ac:dyDescent="0.25">
      <c r="A82" s="6">
        <v>22</v>
      </c>
      <c r="B82" s="111" t="s">
        <v>883</v>
      </c>
      <c r="C82" s="8"/>
      <c r="D82" s="8"/>
      <c r="E82" s="8"/>
      <c r="F82" s="8"/>
      <c r="G82" s="8"/>
      <c r="H82" s="8"/>
      <c r="I82" s="8"/>
      <c r="J82" s="15" t="e">
        <f t="shared" si="5"/>
        <v>#DIV/0!</v>
      </c>
      <c r="K82" s="8"/>
      <c r="L82" s="8"/>
      <c r="M82" s="15" t="e">
        <f t="shared" si="6"/>
        <v>#DIV/0!</v>
      </c>
      <c r="N82" s="8"/>
      <c r="O82" s="8"/>
      <c r="P82" s="15" t="e">
        <f t="shared" si="7"/>
        <v>#DIV/0!</v>
      </c>
      <c r="Q82" s="10"/>
      <c r="R82" s="201" t="e">
        <f t="shared" si="8"/>
        <v>#DIV/0!</v>
      </c>
      <c r="S82" s="202"/>
      <c r="T82" s="202"/>
      <c r="U82" s="203"/>
      <c r="V82" s="14" t="e">
        <f t="shared" si="9"/>
        <v>#DIV/0!</v>
      </c>
      <c r="W82" s="10"/>
      <c r="X82" s="10"/>
    </row>
    <row r="83" spans="1:24" ht="15.75" customHeight="1" x14ac:dyDescent="0.25">
      <c r="A83" s="6">
        <v>23</v>
      </c>
      <c r="B83" s="111" t="s">
        <v>884</v>
      </c>
      <c r="C83" s="8"/>
      <c r="D83" s="8"/>
      <c r="E83" s="8"/>
      <c r="F83" s="8"/>
      <c r="G83" s="8"/>
      <c r="H83" s="8"/>
      <c r="I83" s="8"/>
      <c r="J83" s="15" t="e">
        <f t="shared" si="5"/>
        <v>#DIV/0!</v>
      </c>
      <c r="K83" s="8"/>
      <c r="L83" s="8"/>
      <c r="M83" s="15" t="e">
        <f t="shared" si="6"/>
        <v>#DIV/0!</v>
      </c>
      <c r="N83" s="8"/>
      <c r="O83" s="8"/>
      <c r="P83" s="15" t="e">
        <f t="shared" si="7"/>
        <v>#DIV/0!</v>
      </c>
      <c r="Q83" s="10"/>
      <c r="R83" s="201" t="e">
        <f t="shared" si="8"/>
        <v>#DIV/0!</v>
      </c>
      <c r="S83" s="202"/>
      <c r="T83" s="202"/>
      <c r="U83" s="203"/>
      <c r="V83" s="14" t="e">
        <f t="shared" si="9"/>
        <v>#DIV/0!</v>
      </c>
      <c r="W83" s="10"/>
      <c r="X83" s="10"/>
    </row>
    <row r="84" spans="1:24" ht="15.75" customHeight="1" x14ac:dyDescent="0.25">
      <c r="A84" s="6">
        <v>24</v>
      </c>
      <c r="B84" s="111" t="s">
        <v>885</v>
      </c>
      <c r="C84" s="8"/>
      <c r="D84" s="8"/>
      <c r="E84" s="8"/>
      <c r="F84" s="8"/>
      <c r="G84" s="8"/>
      <c r="H84" s="8"/>
      <c r="I84" s="8"/>
      <c r="J84" s="15" t="e">
        <f t="shared" si="5"/>
        <v>#DIV/0!</v>
      </c>
      <c r="K84" s="8"/>
      <c r="L84" s="8"/>
      <c r="M84" s="15" t="e">
        <f t="shared" si="6"/>
        <v>#DIV/0!</v>
      </c>
      <c r="N84" s="8"/>
      <c r="O84" s="8"/>
      <c r="P84" s="15" t="e">
        <f t="shared" si="7"/>
        <v>#DIV/0!</v>
      </c>
      <c r="Q84" s="10"/>
      <c r="R84" s="201" t="e">
        <f t="shared" si="8"/>
        <v>#DIV/0!</v>
      </c>
      <c r="S84" s="202"/>
      <c r="T84" s="202"/>
      <c r="U84" s="203"/>
      <c r="V84" s="14" t="e">
        <f t="shared" si="9"/>
        <v>#DIV/0!</v>
      </c>
      <c r="W84" s="10"/>
      <c r="X84" s="10"/>
    </row>
    <row r="85" spans="1:24" ht="15.75" customHeight="1" x14ac:dyDescent="0.25">
      <c r="A85" s="6">
        <v>25</v>
      </c>
      <c r="B85" s="111" t="s">
        <v>52</v>
      </c>
      <c r="C85" s="8"/>
      <c r="D85" s="8"/>
      <c r="E85" s="8"/>
      <c r="F85" s="8"/>
      <c r="G85" s="8"/>
      <c r="H85" s="8"/>
      <c r="I85" s="8"/>
      <c r="J85" s="15" t="e">
        <f t="shared" si="5"/>
        <v>#DIV/0!</v>
      </c>
      <c r="K85" s="8"/>
      <c r="L85" s="8"/>
      <c r="M85" s="15" t="e">
        <f t="shared" si="6"/>
        <v>#DIV/0!</v>
      </c>
      <c r="N85" s="8"/>
      <c r="O85" s="8"/>
      <c r="P85" s="15" t="e">
        <f t="shared" si="7"/>
        <v>#DIV/0!</v>
      </c>
      <c r="Q85" s="10"/>
      <c r="R85" s="201" t="e">
        <f t="shared" si="8"/>
        <v>#DIV/0!</v>
      </c>
      <c r="S85" s="202"/>
      <c r="T85" s="202"/>
      <c r="U85" s="203"/>
      <c r="V85" s="14" t="e">
        <f t="shared" si="9"/>
        <v>#DIV/0!</v>
      </c>
      <c r="W85" s="10"/>
      <c r="X85" s="10"/>
    </row>
    <row r="86" spans="1:24" ht="15.75" customHeight="1" x14ac:dyDescent="0.25">
      <c r="A86" s="6">
        <v>26</v>
      </c>
      <c r="B86" s="111" t="s">
        <v>58</v>
      </c>
      <c r="C86" s="8"/>
      <c r="D86" s="8"/>
      <c r="E86" s="8"/>
      <c r="F86" s="8"/>
      <c r="G86" s="8"/>
      <c r="H86" s="8"/>
      <c r="I86" s="8"/>
      <c r="J86" s="15" t="e">
        <f t="shared" si="5"/>
        <v>#DIV/0!</v>
      </c>
      <c r="K86" s="8"/>
      <c r="L86" s="8"/>
      <c r="M86" s="15" t="e">
        <f t="shared" si="6"/>
        <v>#DIV/0!</v>
      </c>
      <c r="N86" s="8"/>
      <c r="O86" s="8"/>
      <c r="P86" s="15" t="e">
        <f t="shared" si="7"/>
        <v>#DIV/0!</v>
      </c>
      <c r="Q86" s="10"/>
      <c r="R86" s="201" t="e">
        <f t="shared" si="8"/>
        <v>#DIV/0!</v>
      </c>
      <c r="S86" s="202"/>
      <c r="T86" s="202"/>
      <c r="U86" s="203"/>
      <c r="V86" s="14" t="e">
        <f t="shared" si="9"/>
        <v>#DIV/0!</v>
      </c>
      <c r="W86" s="10"/>
      <c r="X86" s="10"/>
    </row>
    <row r="87" spans="1:24" ht="15.75" customHeight="1" x14ac:dyDescent="0.25">
      <c r="A87" s="6">
        <v>27</v>
      </c>
      <c r="B87" s="111" t="s">
        <v>886</v>
      </c>
      <c r="C87" s="8"/>
      <c r="D87" s="8"/>
      <c r="E87" s="8"/>
      <c r="F87" s="8"/>
      <c r="G87" s="8"/>
      <c r="H87" s="8"/>
      <c r="I87" s="8"/>
      <c r="J87" s="15" t="e">
        <f t="shared" si="5"/>
        <v>#DIV/0!</v>
      </c>
      <c r="K87" s="8"/>
      <c r="L87" s="8"/>
      <c r="M87" s="15" t="e">
        <f t="shared" si="6"/>
        <v>#DIV/0!</v>
      </c>
      <c r="N87" s="8"/>
      <c r="O87" s="8"/>
      <c r="P87" s="15" t="e">
        <f t="shared" si="7"/>
        <v>#DIV/0!</v>
      </c>
      <c r="Q87" s="10"/>
      <c r="R87" s="201" t="e">
        <f t="shared" si="8"/>
        <v>#DIV/0!</v>
      </c>
      <c r="S87" s="202"/>
      <c r="T87" s="202"/>
      <c r="U87" s="203"/>
      <c r="V87" s="14" t="e">
        <f t="shared" si="9"/>
        <v>#DIV/0!</v>
      </c>
      <c r="W87" s="10"/>
      <c r="X87" s="10"/>
    </row>
    <row r="88" spans="1:24" ht="15.75" customHeight="1" x14ac:dyDescent="0.25">
      <c r="A88" s="6">
        <v>28</v>
      </c>
      <c r="B88" s="111" t="s">
        <v>887</v>
      </c>
      <c r="C88" s="8"/>
      <c r="D88" s="8"/>
      <c r="E88" s="8"/>
      <c r="F88" s="8"/>
      <c r="G88" s="8"/>
      <c r="H88" s="8"/>
      <c r="I88" s="8"/>
      <c r="J88" s="15" t="e">
        <f t="shared" si="5"/>
        <v>#DIV/0!</v>
      </c>
      <c r="K88" s="8"/>
      <c r="L88" s="8"/>
      <c r="M88" s="15" t="e">
        <f t="shared" si="6"/>
        <v>#DIV/0!</v>
      </c>
      <c r="N88" s="8"/>
      <c r="O88" s="8"/>
      <c r="P88" s="15" t="e">
        <f t="shared" si="7"/>
        <v>#DIV/0!</v>
      </c>
      <c r="Q88" s="10"/>
      <c r="R88" s="201" t="e">
        <f t="shared" si="8"/>
        <v>#DIV/0!</v>
      </c>
      <c r="S88" s="202"/>
      <c r="T88" s="202"/>
      <c r="U88" s="203"/>
      <c r="V88" s="14" t="e">
        <f t="shared" si="9"/>
        <v>#DIV/0!</v>
      </c>
      <c r="W88" s="10"/>
      <c r="X88" s="10"/>
    </row>
    <row r="89" spans="1:24" ht="15.75" customHeight="1" x14ac:dyDescent="0.25">
      <c r="A89" s="6">
        <v>29</v>
      </c>
      <c r="B89" s="111" t="s">
        <v>888</v>
      </c>
      <c r="C89" s="8"/>
      <c r="D89" s="8"/>
      <c r="E89" s="8"/>
      <c r="F89" s="8"/>
      <c r="G89" s="8"/>
      <c r="H89" s="8"/>
      <c r="I89" s="8"/>
      <c r="J89" s="15" t="e">
        <f t="shared" si="5"/>
        <v>#DIV/0!</v>
      </c>
      <c r="K89" s="8"/>
      <c r="L89" s="8"/>
      <c r="M89" s="15" t="e">
        <f t="shared" si="6"/>
        <v>#DIV/0!</v>
      </c>
      <c r="N89" s="8"/>
      <c r="O89" s="8"/>
      <c r="P89" s="15" t="e">
        <f t="shared" si="7"/>
        <v>#DIV/0!</v>
      </c>
      <c r="Q89" s="10"/>
      <c r="R89" s="201" t="e">
        <f t="shared" si="8"/>
        <v>#DIV/0!</v>
      </c>
      <c r="S89" s="202"/>
      <c r="T89" s="202"/>
      <c r="U89" s="203"/>
      <c r="V89" s="14" t="e">
        <f t="shared" si="9"/>
        <v>#DIV/0!</v>
      </c>
      <c r="W89" s="10"/>
      <c r="X89" s="10"/>
    </row>
    <row r="90" spans="1:24" ht="15.75" customHeight="1" x14ac:dyDescent="0.25">
      <c r="A90" s="6">
        <v>30</v>
      </c>
      <c r="B90" s="111" t="s">
        <v>889</v>
      </c>
      <c r="C90" s="8"/>
      <c r="D90" s="8"/>
      <c r="E90" s="8"/>
      <c r="F90" s="8"/>
      <c r="G90" s="8"/>
      <c r="H90" s="8"/>
      <c r="I90" s="8"/>
      <c r="J90" s="15" t="e">
        <f t="shared" si="5"/>
        <v>#DIV/0!</v>
      </c>
      <c r="K90" s="8"/>
      <c r="L90" s="8"/>
      <c r="M90" s="15" t="e">
        <f t="shared" si="6"/>
        <v>#DIV/0!</v>
      </c>
      <c r="N90" s="8"/>
      <c r="O90" s="8"/>
      <c r="P90" s="15" t="e">
        <f t="shared" si="7"/>
        <v>#DIV/0!</v>
      </c>
      <c r="Q90" s="10"/>
      <c r="R90" s="201" t="e">
        <f t="shared" si="8"/>
        <v>#DIV/0!</v>
      </c>
      <c r="S90" s="202"/>
      <c r="T90" s="202"/>
      <c r="U90" s="203"/>
      <c r="V90" s="14" t="e">
        <f t="shared" si="9"/>
        <v>#DIV/0!</v>
      </c>
      <c r="W90" s="10"/>
      <c r="X90" s="10"/>
    </row>
    <row r="91" spans="1:24" ht="15.75" customHeight="1" x14ac:dyDescent="0.25">
      <c r="A91" s="6">
        <v>31</v>
      </c>
      <c r="B91" s="111" t="s">
        <v>29</v>
      </c>
      <c r="C91" s="8"/>
      <c r="D91" s="8"/>
      <c r="E91" s="8"/>
      <c r="F91" s="8"/>
      <c r="G91" s="8"/>
      <c r="H91" s="8"/>
      <c r="I91" s="8"/>
      <c r="J91" s="15" t="e">
        <f t="shared" si="5"/>
        <v>#DIV/0!</v>
      </c>
      <c r="K91" s="8"/>
      <c r="L91" s="8"/>
      <c r="M91" s="15" t="e">
        <f t="shared" si="6"/>
        <v>#DIV/0!</v>
      </c>
      <c r="N91" s="8"/>
      <c r="O91" s="8"/>
      <c r="P91" s="15" t="e">
        <f t="shared" si="7"/>
        <v>#DIV/0!</v>
      </c>
      <c r="Q91" s="10"/>
      <c r="R91" s="201" t="e">
        <f t="shared" si="8"/>
        <v>#DIV/0!</v>
      </c>
      <c r="S91" s="202"/>
      <c r="T91" s="202"/>
      <c r="U91" s="203"/>
      <c r="V91" s="14" t="e">
        <f t="shared" si="9"/>
        <v>#DIV/0!</v>
      </c>
      <c r="W91" s="10"/>
      <c r="X91" s="10"/>
    </row>
    <row r="92" spans="1:24" ht="15.75" customHeight="1" x14ac:dyDescent="0.25">
      <c r="A92" s="6">
        <v>32</v>
      </c>
      <c r="B92" s="111" t="s">
        <v>59</v>
      </c>
      <c r="C92" s="8"/>
      <c r="D92" s="8"/>
      <c r="E92" s="8"/>
      <c r="F92" s="8"/>
      <c r="G92" s="8"/>
      <c r="H92" s="8"/>
      <c r="I92" s="8"/>
      <c r="J92" s="15" t="e">
        <f t="shared" si="5"/>
        <v>#DIV/0!</v>
      </c>
      <c r="K92" s="8"/>
      <c r="L92" s="8"/>
      <c r="M92" s="15" t="e">
        <f t="shared" si="6"/>
        <v>#DIV/0!</v>
      </c>
      <c r="N92" s="8"/>
      <c r="O92" s="8"/>
      <c r="P92" s="15" t="e">
        <f t="shared" si="7"/>
        <v>#DIV/0!</v>
      </c>
      <c r="Q92" s="10"/>
      <c r="R92" s="201" t="e">
        <f t="shared" si="8"/>
        <v>#DIV/0!</v>
      </c>
      <c r="S92" s="202"/>
      <c r="T92" s="202"/>
      <c r="U92" s="203"/>
      <c r="V92" s="14" t="e">
        <f t="shared" si="9"/>
        <v>#DIV/0!</v>
      </c>
      <c r="W92" s="10"/>
      <c r="X92" s="10"/>
    </row>
    <row r="93" spans="1:24" ht="15.75" customHeight="1" x14ac:dyDescent="0.25">
      <c r="A93" s="6">
        <v>33</v>
      </c>
      <c r="B93" s="158" t="s">
        <v>890</v>
      </c>
      <c r="C93" s="8"/>
      <c r="D93" s="8"/>
      <c r="E93" s="8"/>
      <c r="F93" s="8"/>
      <c r="G93" s="8"/>
      <c r="H93" s="8"/>
      <c r="I93" s="8"/>
      <c r="J93" s="15" t="e">
        <f t="shared" si="5"/>
        <v>#DIV/0!</v>
      </c>
      <c r="K93" s="8"/>
      <c r="L93" s="8"/>
      <c r="M93" s="15" t="e">
        <f t="shared" si="6"/>
        <v>#DIV/0!</v>
      </c>
      <c r="N93" s="8"/>
      <c r="O93" s="8"/>
      <c r="P93" s="15" t="e">
        <f t="shared" si="7"/>
        <v>#DIV/0!</v>
      </c>
      <c r="Q93" s="10"/>
      <c r="R93" s="201" t="e">
        <f t="shared" si="8"/>
        <v>#DIV/0!</v>
      </c>
      <c r="S93" s="202"/>
      <c r="T93" s="202"/>
      <c r="U93" s="203"/>
      <c r="V93" s="14" t="e">
        <f t="shared" si="9"/>
        <v>#DIV/0!</v>
      </c>
      <c r="W93" s="10"/>
      <c r="X93" s="10"/>
    </row>
    <row r="94" spans="1:24" ht="15.75" customHeight="1" x14ac:dyDescent="0.25">
      <c r="A94" s="6">
        <v>34</v>
      </c>
      <c r="B94" s="67" t="s">
        <v>891</v>
      </c>
      <c r="C94" s="8"/>
      <c r="D94" s="8"/>
      <c r="E94" s="8"/>
      <c r="F94" s="8"/>
      <c r="G94" s="8"/>
      <c r="H94" s="8"/>
      <c r="I94" s="8"/>
      <c r="J94" s="15" t="e">
        <f t="shared" si="5"/>
        <v>#DIV/0!</v>
      </c>
      <c r="K94" s="8"/>
      <c r="L94" s="8"/>
      <c r="M94" s="15" t="e">
        <f t="shared" si="6"/>
        <v>#DIV/0!</v>
      </c>
      <c r="N94" s="8"/>
      <c r="O94" s="8"/>
      <c r="P94" s="15" t="e">
        <f t="shared" si="7"/>
        <v>#DIV/0!</v>
      </c>
      <c r="Q94" s="10"/>
      <c r="R94" s="201" t="e">
        <f t="shared" si="8"/>
        <v>#DIV/0!</v>
      </c>
      <c r="S94" s="202"/>
      <c r="T94" s="202"/>
      <c r="U94" s="203"/>
      <c r="V94" s="14" t="e">
        <f t="shared" si="9"/>
        <v>#DIV/0!</v>
      </c>
      <c r="W94" s="10"/>
      <c r="X94" s="10"/>
    </row>
    <row r="95" spans="1:24" ht="15.75" customHeight="1" x14ac:dyDescent="0.25">
      <c r="A95" s="6">
        <v>35</v>
      </c>
      <c r="B95" s="67" t="s">
        <v>892</v>
      </c>
      <c r="C95" s="8"/>
      <c r="D95" s="8"/>
      <c r="E95" s="8"/>
      <c r="F95" s="8"/>
      <c r="G95" s="8"/>
      <c r="H95" s="8"/>
      <c r="I95" s="8"/>
      <c r="J95" s="15" t="e">
        <f t="shared" si="5"/>
        <v>#DIV/0!</v>
      </c>
      <c r="K95" s="8"/>
      <c r="L95" s="8"/>
      <c r="M95" s="15" t="e">
        <f t="shared" si="6"/>
        <v>#DIV/0!</v>
      </c>
      <c r="N95" s="8"/>
      <c r="O95" s="8"/>
      <c r="P95" s="15" t="e">
        <f t="shared" si="7"/>
        <v>#DIV/0!</v>
      </c>
      <c r="Q95" s="10"/>
      <c r="R95" s="201" t="e">
        <f t="shared" si="8"/>
        <v>#DIV/0!</v>
      </c>
      <c r="S95" s="202"/>
      <c r="T95" s="202"/>
      <c r="U95" s="203"/>
      <c r="V95" s="14" t="e">
        <f t="shared" si="9"/>
        <v>#DIV/0!</v>
      </c>
      <c r="W95" s="10"/>
      <c r="X95" s="10"/>
    </row>
    <row r="96" spans="1:24" ht="15.75" customHeight="1" x14ac:dyDescent="0.25">
      <c r="A96" s="6">
        <v>36</v>
      </c>
      <c r="B96" s="67" t="s">
        <v>47</v>
      </c>
      <c r="C96" s="8"/>
      <c r="D96" s="8"/>
      <c r="E96" s="8"/>
      <c r="F96" s="8"/>
      <c r="G96" s="8"/>
      <c r="H96" s="8"/>
      <c r="I96" s="8"/>
      <c r="J96" s="15" t="e">
        <f t="shared" si="5"/>
        <v>#DIV/0!</v>
      </c>
      <c r="K96" s="8"/>
      <c r="L96" s="8"/>
      <c r="M96" s="15" t="e">
        <f t="shared" si="6"/>
        <v>#DIV/0!</v>
      </c>
      <c r="N96" s="8"/>
      <c r="O96" s="8"/>
      <c r="P96" s="15" t="e">
        <f t="shared" si="7"/>
        <v>#DIV/0!</v>
      </c>
      <c r="Q96" s="10"/>
      <c r="R96" s="201" t="e">
        <f t="shared" si="8"/>
        <v>#DIV/0!</v>
      </c>
      <c r="S96" s="202"/>
      <c r="T96" s="202"/>
      <c r="U96" s="203"/>
      <c r="V96" s="14" t="e">
        <f t="shared" si="9"/>
        <v>#DIV/0!</v>
      </c>
      <c r="W96" s="10"/>
      <c r="X96" s="10"/>
    </row>
    <row r="97" spans="1:24" ht="15.75" customHeight="1" x14ac:dyDescent="0.25">
      <c r="A97" s="6">
        <v>37</v>
      </c>
      <c r="B97" s="67" t="s">
        <v>893</v>
      </c>
      <c r="C97" s="8"/>
      <c r="D97" s="8"/>
      <c r="E97" s="8"/>
      <c r="F97" s="8"/>
      <c r="G97" s="8"/>
      <c r="H97" s="8"/>
      <c r="I97" s="8"/>
      <c r="J97" s="15" t="e">
        <f t="shared" si="5"/>
        <v>#DIV/0!</v>
      </c>
      <c r="K97" s="8"/>
      <c r="L97" s="8"/>
      <c r="M97" s="15" t="e">
        <f t="shared" si="6"/>
        <v>#DIV/0!</v>
      </c>
      <c r="N97" s="8"/>
      <c r="O97" s="8"/>
      <c r="P97" s="15" t="e">
        <f t="shared" si="7"/>
        <v>#DIV/0!</v>
      </c>
      <c r="Q97" s="10"/>
      <c r="R97" s="201" t="e">
        <f t="shared" si="8"/>
        <v>#DIV/0!</v>
      </c>
      <c r="S97" s="202"/>
      <c r="T97" s="202"/>
      <c r="U97" s="203"/>
      <c r="V97" s="14" t="e">
        <f t="shared" si="9"/>
        <v>#DIV/0!</v>
      </c>
      <c r="W97" s="10"/>
      <c r="X97" s="10"/>
    </row>
    <row r="98" spans="1:24" ht="15.75" customHeight="1" x14ac:dyDescent="0.25">
      <c r="A98" s="6">
        <v>38</v>
      </c>
      <c r="B98" s="67" t="s">
        <v>61</v>
      </c>
      <c r="C98" s="8"/>
      <c r="D98" s="8"/>
      <c r="E98" s="8"/>
      <c r="F98" s="8"/>
      <c r="G98" s="8"/>
      <c r="H98" s="8"/>
      <c r="I98" s="8"/>
      <c r="J98" s="15" t="e">
        <f t="shared" si="5"/>
        <v>#DIV/0!</v>
      </c>
      <c r="K98" s="8"/>
      <c r="L98" s="8"/>
      <c r="M98" s="15" t="e">
        <f t="shared" si="6"/>
        <v>#DIV/0!</v>
      </c>
      <c r="N98" s="8"/>
      <c r="O98" s="8"/>
      <c r="P98" s="15" t="e">
        <f t="shared" si="7"/>
        <v>#DIV/0!</v>
      </c>
      <c r="Q98" s="10"/>
      <c r="R98" s="201" t="e">
        <f t="shared" si="8"/>
        <v>#DIV/0!</v>
      </c>
      <c r="S98" s="202"/>
      <c r="T98" s="202"/>
      <c r="U98" s="203"/>
      <c r="V98" s="14" t="e">
        <f t="shared" si="9"/>
        <v>#DIV/0!</v>
      </c>
      <c r="W98" s="10"/>
      <c r="X98" s="10"/>
    </row>
    <row r="99" spans="1:24" ht="15.75" customHeight="1" x14ac:dyDescent="0.25">
      <c r="A99" s="6">
        <v>39</v>
      </c>
      <c r="B99" s="67"/>
      <c r="C99" s="8"/>
      <c r="D99" s="8"/>
      <c r="E99" s="8"/>
      <c r="F99" s="8"/>
      <c r="G99" s="8"/>
      <c r="H99" s="8"/>
      <c r="I99" s="8"/>
      <c r="J99" s="15" t="e">
        <f t="shared" si="5"/>
        <v>#DIV/0!</v>
      </c>
      <c r="K99" s="8"/>
      <c r="L99" s="8"/>
      <c r="M99" s="15" t="e">
        <f t="shared" si="6"/>
        <v>#DIV/0!</v>
      </c>
      <c r="N99" s="8"/>
      <c r="O99" s="8"/>
      <c r="P99" s="15" t="e">
        <f t="shared" si="7"/>
        <v>#DIV/0!</v>
      </c>
      <c r="Q99" s="10"/>
      <c r="R99" s="201" t="e">
        <f t="shared" si="8"/>
        <v>#DIV/0!</v>
      </c>
      <c r="S99" s="202"/>
      <c r="T99" s="202"/>
      <c r="U99" s="203"/>
      <c r="V99" s="14" t="e">
        <f t="shared" si="9"/>
        <v>#DIV/0!</v>
      </c>
      <c r="W99" s="10"/>
      <c r="X99" s="10"/>
    </row>
    <row r="100" spans="1:24" ht="15.75" customHeight="1" x14ac:dyDescent="0.25">
      <c r="A100" s="6">
        <v>40</v>
      </c>
      <c r="B100" s="7"/>
      <c r="C100" s="8"/>
      <c r="D100" s="8"/>
      <c r="E100" s="8"/>
      <c r="F100" s="8"/>
      <c r="G100" s="8"/>
      <c r="H100" s="8"/>
      <c r="I100" s="8"/>
      <c r="J100" s="15" t="e">
        <f t="shared" si="5"/>
        <v>#DIV/0!</v>
      </c>
      <c r="K100" s="8"/>
      <c r="L100" s="8"/>
      <c r="M100" s="15" t="e">
        <f t="shared" si="6"/>
        <v>#DIV/0!</v>
      </c>
      <c r="N100" s="8"/>
      <c r="O100" s="8"/>
      <c r="P100" s="15" t="e">
        <f t="shared" si="7"/>
        <v>#DIV/0!</v>
      </c>
      <c r="Q100" s="10"/>
      <c r="R100" s="201" t="e">
        <f t="shared" si="8"/>
        <v>#DIV/0!</v>
      </c>
      <c r="S100" s="202"/>
      <c r="T100" s="202"/>
      <c r="U100" s="203"/>
      <c r="V100" s="14" t="e">
        <f t="shared" si="9"/>
        <v>#DIV/0!</v>
      </c>
      <c r="W100" s="10"/>
      <c r="X100" s="10"/>
    </row>
    <row r="101" spans="1:24" ht="15.75" customHeight="1" x14ac:dyDescent="0.25">
      <c r="A101" s="6">
        <v>41</v>
      </c>
      <c r="B101" s="7"/>
      <c r="C101" s="8"/>
      <c r="D101" s="8"/>
      <c r="E101" s="8"/>
      <c r="F101" s="8"/>
      <c r="G101" s="8"/>
      <c r="H101" s="8"/>
      <c r="I101" s="8"/>
      <c r="J101" s="15" t="e">
        <f t="shared" si="5"/>
        <v>#DIV/0!</v>
      </c>
      <c r="K101" s="8"/>
      <c r="L101" s="8"/>
      <c r="M101" s="15" t="e">
        <f t="shared" si="6"/>
        <v>#DIV/0!</v>
      </c>
      <c r="N101" s="8"/>
      <c r="O101" s="8"/>
      <c r="P101" s="15" t="e">
        <f t="shared" si="7"/>
        <v>#DIV/0!</v>
      </c>
      <c r="Q101" s="10"/>
      <c r="R101" s="201" t="e">
        <f t="shared" si="8"/>
        <v>#DIV/0!</v>
      </c>
      <c r="S101" s="202"/>
      <c r="T101" s="202"/>
      <c r="U101" s="203"/>
      <c r="V101" s="14" t="e">
        <f t="shared" si="9"/>
        <v>#DIV/0!</v>
      </c>
      <c r="W101" s="10"/>
      <c r="X101" s="10"/>
    </row>
    <row r="102" spans="1:24" ht="15.75" customHeight="1" x14ac:dyDescent="0.25">
      <c r="A102" s="6">
        <v>42</v>
      </c>
      <c r="B102" s="7"/>
      <c r="C102" s="8"/>
      <c r="D102" s="8"/>
      <c r="E102" s="8"/>
      <c r="F102" s="8"/>
      <c r="G102" s="8"/>
      <c r="H102" s="8"/>
      <c r="I102" s="8"/>
      <c r="J102" s="15" t="e">
        <f t="shared" si="5"/>
        <v>#DIV/0!</v>
      </c>
      <c r="K102" s="8"/>
      <c r="L102" s="8"/>
      <c r="M102" s="15" t="e">
        <f t="shared" si="6"/>
        <v>#DIV/0!</v>
      </c>
      <c r="N102" s="8"/>
      <c r="O102" s="8"/>
      <c r="P102" s="15" t="e">
        <f t="shared" si="7"/>
        <v>#DIV/0!</v>
      </c>
      <c r="Q102" s="10"/>
      <c r="R102" s="201" t="e">
        <f t="shared" si="8"/>
        <v>#DIV/0!</v>
      </c>
      <c r="S102" s="202"/>
      <c r="T102" s="202"/>
      <c r="U102" s="203"/>
      <c r="V102" s="14" t="e">
        <f t="shared" si="9"/>
        <v>#DIV/0!</v>
      </c>
      <c r="W102" s="10"/>
      <c r="X102" s="10"/>
    </row>
    <row r="103" spans="1:24" ht="15.75" customHeight="1" x14ac:dyDescent="0.25">
      <c r="A103" s="6">
        <v>43</v>
      </c>
      <c r="B103" s="7"/>
      <c r="C103" s="8"/>
      <c r="D103" s="8"/>
      <c r="E103" s="8"/>
      <c r="F103" s="8"/>
      <c r="G103" s="8"/>
      <c r="H103" s="8"/>
      <c r="I103" s="8"/>
      <c r="J103" s="15" t="e">
        <f t="shared" si="5"/>
        <v>#DIV/0!</v>
      </c>
      <c r="K103" s="8"/>
      <c r="L103" s="8"/>
      <c r="M103" s="15" t="e">
        <f t="shared" si="6"/>
        <v>#DIV/0!</v>
      </c>
      <c r="N103" s="8"/>
      <c r="O103" s="8"/>
      <c r="P103" s="15" t="e">
        <f t="shared" si="7"/>
        <v>#DIV/0!</v>
      </c>
      <c r="Q103" s="10"/>
      <c r="R103" s="201" t="e">
        <f t="shared" si="8"/>
        <v>#DIV/0!</v>
      </c>
      <c r="S103" s="202"/>
      <c r="T103" s="202"/>
      <c r="U103" s="203"/>
      <c r="V103" s="14" t="e">
        <f t="shared" si="9"/>
        <v>#DIV/0!</v>
      </c>
      <c r="W103" s="10"/>
      <c r="X103" s="10"/>
    </row>
    <row r="104" spans="1:24" ht="15.75" customHeight="1" x14ac:dyDescent="0.25">
      <c r="A104" s="187"/>
      <c r="B104" s="208"/>
      <c r="C104" s="205"/>
      <c r="D104" s="205"/>
      <c r="E104" s="210"/>
      <c r="F104" s="211"/>
      <c r="G104" s="211"/>
      <c r="H104" s="211"/>
      <c r="I104" s="211"/>
      <c r="J104" s="204"/>
      <c r="K104" s="204"/>
      <c r="L104" s="205"/>
      <c r="M104" s="185"/>
      <c r="N104" s="185"/>
      <c r="O104" s="185"/>
      <c r="P104" s="185"/>
      <c r="Q104" s="187"/>
      <c r="R104" s="188"/>
      <c r="S104" s="189"/>
      <c r="T104" s="190"/>
      <c r="U104" s="194"/>
      <c r="V104" s="195"/>
      <c r="W104" s="206"/>
      <c r="X104" s="181"/>
    </row>
    <row r="105" spans="1:24" ht="15.75" customHeight="1" x14ac:dyDescent="0.25">
      <c r="A105" s="187"/>
      <c r="B105" s="209"/>
      <c r="C105" s="205"/>
      <c r="D105" s="205"/>
      <c r="E105" s="210"/>
      <c r="F105" s="211"/>
      <c r="G105" s="211"/>
      <c r="H105" s="211"/>
      <c r="I105" s="211"/>
      <c r="J105" s="204"/>
      <c r="K105" s="204"/>
      <c r="L105" s="205"/>
      <c r="M105" s="185"/>
      <c r="N105" s="185"/>
      <c r="O105" s="185"/>
      <c r="P105" s="185"/>
      <c r="Q105" s="187"/>
      <c r="R105" s="188"/>
      <c r="S105" s="189"/>
      <c r="T105" s="190"/>
      <c r="U105" s="194"/>
      <c r="V105" s="195"/>
      <c r="W105" s="206"/>
      <c r="X105" s="181"/>
    </row>
    <row r="106" spans="1:24" ht="15.75" customHeight="1" x14ac:dyDescent="0.25">
      <c r="A106" s="187"/>
      <c r="B106" s="183"/>
      <c r="C106" s="205"/>
      <c r="D106" s="205"/>
      <c r="E106" s="210"/>
      <c r="F106" s="211"/>
      <c r="G106" s="211"/>
      <c r="H106" s="211"/>
      <c r="I106" s="211"/>
      <c r="J106" s="204"/>
      <c r="K106" s="204"/>
      <c r="L106" s="205"/>
      <c r="M106" s="185"/>
      <c r="N106" s="185"/>
      <c r="O106" s="185"/>
      <c r="P106" s="185"/>
      <c r="Q106" s="187"/>
      <c r="R106" s="188"/>
      <c r="S106" s="189"/>
      <c r="T106" s="190"/>
      <c r="U106" s="194"/>
      <c r="V106" s="195"/>
      <c r="W106" s="206"/>
      <c r="X106" s="181"/>
    </row>
    <row r="107" spans="1:24" ht="79.5" customHeight="1" thickBot="1" x14ac:dyDescent="0.3">
      <c r="A107" s="187"/>
      <c r="B107" s="184"/>
      <c r="C107" s="205"/>
      <c r="D107" s="205"/>
      <c r="E107" s="210"/>
      <c r="F107" s="212"/>
      <c r="G107" s="212"/>
      <c r="H107" s="212"/>
      <c r="I107" s="212"/>
      <c r="J107" s="204"/>
      <c r="K107" s="204"/>
      <c r="L107" s="205"/>
      <c r="M107" s="186"/>
      <c r="N107" s="186"/>
      <c r="O107" s="186"/>
      <c r="P107" s="186"/>
      <c r="Q107" s="187"/>
      <c r="R107" s="191"/>
      <c r="S107" s="192"/>
      <c r="T107" s="193"/>
      <c r="U107" s="196"/>
      <c r="V107" s="197"/>
      <c r="W107" s="207"/>
      <c r="X107" s="182"/>
    </row>
    <row r="108" spans="1:24" ht="15.75" customHeight="1" thickTop="1" x14ac:dyDescent="0.25"/>
    <row r="109" spans="1:24" ht="15.75" customHeight="1" x14ac:dyDescent="0.25"/>
    <row r="110" spans="1:24" ht="15.75" customHeight="1" x14ac:dyDescent="0.25"/>
    <row r="111" spans="1:24" ht="15.75" customHeight="1" x14ac:dyDescent="0.25"/>
    <row r="112" spans="1:2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</sheetData>
  <sheetProtection algorithmName="SHA-512" hashValue="S8QTdekHYTwZvTGT5uBTK1n3i4GLdbkz3cGg6x3uLwBehXSqni9ppvLR9HnOOGc2op/wWBanK3KBMFI2LaLb8w==" saltValue="aIvG1Yw4r4QcdNviHedpBA==" spinCount="100000" sheet="1" objects="1" scenarios="1"/>
  <mergeCells count="179">
    <mergeCell ref="R51:U51"/>
    <mergeCell ref="F52:F55"/>
    <mergeCell ref="G52:G55"/>
    <mergeCell ref="H52:H55"/>
    <mergeCell ref="R52:T55"/>
    <mergeCell ref="U52:V55"/>
    <mergeCell ref="Q1:X1"/>
    <mergeCell ref="A2:B2"/>
    <mergeCell ref="J2:Q2"/>
    <mergeCell ref="R2:X2"/>
    <mergeCell ref="A1:P1"/>
    <mergeCell ref="C2:I2"/>
    <mergeCell ref="R39:U39"/>
    <mergeCell ref="R40:U40"/>
    <mergeCell ref="R41:U41"/>
    <mergeCell ref="A3:A5"/>
    <mergeCell ref="B3:B5"/>
    <mergeCell ref="W3:X4"/>
    <mergeCell ref="C4:C5"/>
    <mergeCell ref="D4:D5"/>
    <mergeCell ref="E4:E5"/>
    <mergeCell ref="I4:I5"/>
    <mergeCell ref="K3:M4"/>
    <mergeCell ref="N3:P4"/>
    <mergeCell ref="C3:J3"/>
    <mergeCell ref="J4:J5"/>
    <mergeCell ref="Q3:Q5"/>
    <mergeCell ref="R3:V4"/>
    <mergeCell ref="F4:F5"/>
    <mergeCell ref="G4:G5"/>
    <mergeCell ref="H4:H5"/>
    <mergeCell ref="R14:U14"/>
    <mergeCell ref="R5:U5"/>
    <mergeCell ref="R6:U6"/>
    <mergeCell ref="R7:U7"/>
    <mergeCell ref="R8:U8"/>
    <mergeCell ref="R9:U9"/>
    <mergeCell ref="R10:U10"/>
    <mergeCell ref="R11:U11"/>
    <mergeCell ref="R12:U12"/>
    <mergeCell ref="R13:U13"/>
    <mergeCell ref="R26:U26"/>
    <mergeCell ref="R15:U15"/>
    <mergeCell ref="R16:U16"/>
    <mergeCell ref="R17:U17"/>
    <mergeCell ref="R18:U18"/>
    <mergeCell ref="R19:U19"/>
    <mergeCell ref="R20:U20"/>
    <mergeCell ref="R21:U21"/>
    <mergeCell ref="R22:U22"/>
    <mergeCell ref="R23:U23"/>
    <mergeCell ref="R24:U24"/>
    <mergeCell ref="R25:U25"/>
    <mergeCell ref="R28:U28"/>
    <mergeCell ref="R30:U30"/>
    <mergeCell ref="R31:U31"/>
    <mergeCell ref="I52:I55"/>
    <mergeCell ref="R27:U27"/>
    <mergeCell ref="R29:U29"/>
    <mergeCell ref="J52:J55"/>
    <mergeCell ref="K52:K55"/>
    <mergeCell ref="R50:U50"/>
    <mergeCell ref="R32:U32"/>
    <mergeCell ref="R33:U33"/>
    <mergeCell ref="R34:U34"/>
    <mergeCell ref="R35:U35"/>
    <mergeCell ref="R36:U36"/>
    <mergeCell ref="R37:U37"/>
    <mergeCell ref="R38:U38"/>
    <mergeCell ref="R42:U42"/>
    <mergeCell ref="R43:U43"/>
    <mergeCell ref="R44:U44"/>
    <mergeCell ref="R45:U45"/>
    <mergeCell ref="R46:U46"/>
    <mergeCell ref="R47:U47"/>
    <mergeCell ref="R48:U48"/>
    <mergeCell ref="R49:U49"/>
    <mergeCell ref="W52:W55"/>
    <mergeCell ref="X52:X55"/>
    <mergeCell ref="L52:L55"/>
    <mergeCell ref="M52:M55"/>
    <mergeCell ref="N52:N55"/>
    <mergeCell ref="O52:O55"/>
    <mergeCell ref="P52:P55"/>
    <mergeCell ref="Q52:Q55"/>
    <mergeCell ref="A52:A55"/>
    <mergeCell ref="B52:B53"/>
    <mergeCell ref="C52:C55"/>
    <mergeCell ref="D52:D55"/>
    <mergeCell ref="E52:E55"/>
    <mergeCell ref="B54:B55"/>
    <mergeCell ref="R62:U62"/>
    <mergeCell ref="C59:C60"/>
    <mergeCell ref="D59:D60"/>
    <mergeCell ref="E59:E60"/>
    <mergeCell ref="F59:F60"/>
    <mergeCell ref="G59:G60"/>
    <mergeCell ref="H59:H60"/>
    <mergeCell ref="I59:I60"/>
    <mergeCell ref="J59:J60"/>
    <mergeCell ref="R68:U68"/>
    <mergeCell ref="R69:U69"/>
    <mergeCell ref="R70:U70"/>
    <mergeCell ref="R71:U71"/>
    <mergeCell ref="R72:U72"/>
    <mergeCell ref="R63:U63"/>
    <mergeCell ref="R64:U64"/>
    <mergeCell ref="R65:U65"/>
    <mergeCell ref="R66:U66"/>
    <mergeCell ref="R67:U67"/>
    <mergeCell ref="R78:U78"/>
    <mergeCell ref="R79:U79"/>
    <mergeCell ref="R80:U80"/>
    <mergeCell ref="R81:U81"/>
    <mergeCell ref="R82:U82"/>
    <mergeCell ref="R73:U73"/>
    <mergeCell ref="R74:U74"/>
    <mergeCell ref="R75:U75"/>
    <mergeCell ref="R76:U76"/>
    <mergeCell ref="R77:U77"/>
    <mergeCell ref="R96:U96"/>
    <mergeCell ref="R97:U97"/>
    <mergeCell ref="R88:U88"/>
    <mergeCell ref="R89:U89"/>
    <mergeCell ref="R90:U90"/>
    <mergeCell ref="R91:U91"/>
    <mergeCell ref="R92:U92"/>
    <mergeCell ref="R83:U83"/>
    <mergeCell ref="R84:U84"/>
    <mergeCell ref="R85:U85"/>
    <mergeCell ref="R86:U86"/>
    <mergeCell ref="R87:U87"/>
    <mergeCell ref="A56:P56"/>
    <mergeCell ref="Q56:X56"/>
    <mergeCell ref="A57:B57"/>
    <mergeCell ref="C57:I57"/>
    <mergeCell ref="J57:Q57"/>
    <mergeCell ref="R57:X57"/>
    <mergeCell ref="A58:A60"/>
    <mergeCell ref="B58:B60"/>
    <mergeCell ref="C58:J58"/>
    <mergeCell ref="K58:M59"/>
    <mergeCell ref="N58:P59"/>
    <mergeCell ref="Q58:Q60"/>
    <mergeCell ref="R58:V59"/>
    <mergeCell ref="W58:X59"/>
    <mergeCell ref="A104:A107"/>
    <mergeCell ref="B104:B105"/>
    <mergeCell ref="C104:C107"/>
    <mergeCell ref="D104:D107"/>
    <mergeCell ref="E104:E107"/>
    <mergeCell ref="F104:F107"/>
    <mergeCell ref="G104:G107"/>
    <mergeCell ref="H104:H107"/>
    <mergeCell ref="I104:I107"/>
    <mergeCell ref="X104:X107"/>
    <mergeCell ref="B106:B107"/>
    <mergeCell ref="O104:O107"/>
    <mergeCell ref="P104:P107"/>
    <mergeCell ref="Q104:Q107"/>
    <mergeCell ref="R104:T107"/>
    <mergeCell ref="U104:V107"/>
    <mergeCell ref="R60:U60"/>
    <mergeCell ref="R61:U61"/>
    <mergeCell ref="J104:J107"/>
    <mergeCell ref="K104:K107"/>
    <mergeCell ref="L104:L107"/>
    <mergeCell ref="M104:M107"/>
    <mergeCell ref="N104:N107"/>
    <mergeCell ref="W104:W107"/>
    <mergeCell ref="R103:U103"/>
    <mergeCell ref="R98:U98"/>
    <mergeCell ref="R99:U99"/>
    <mergeCell ref="R100:U100"/>
    <mergeCell ref="R101:U101"/>
    <mergeCell ref="R102:U102"/>
    <mergeCell ref="R93:U93"/>
    <mergeCell ref="R94:U94"/>
    <mergeCell ref="R95:U95"/>
  </mergeCells>
  <conditionalFormatting sqref="B6:B32">
    <cfRule type="duplicateValues" dxfId="136" priority="2"/>
  </conditionalFormatting>
  <conditionalFormatting sqref="B42:B43">
    <cfRule type="duplicateValues" dxfId="135" priority="3"/>
  </conditionalFormatting>
  <conditionalFormatting sqref="B86:B91">
    <cfRule type="duplicateValues" dxfId="134" priority="1"/>
  </conditionalFormatting>
  <conditionalFormatting sqref="J6:J51">
    <cfRule type="cellIs" dxfId="133" priority="19" operator="lessThan">
      <formula>65</formula>
    </cfRule>
    <cfRule type="cellIs" dxfId="132" priority="20" operator="greaterThan">
      <formula>64</formula>
    </cfRule>
  </conditionalFormatting>
  <conditionalFormatting sqref="J61:J103">
    <cfRule type="cellIs" dxfId="131" priority="4" operator="lessThan">
      <formula>65</formula>
    </cfRule>
    <cfRule type="cellIs" dxfId="130" priority="5" operator="greaterThan">
      <formula>64</formula>
    </cfRule>
  </conditionalFormatting>
  <conditionalFormatting sqref="M6:M51 P6:P51">
    <cfRule type="cellIs" dxfId="129" priority="35" operator="between">
      <formula>0</formula>
      <formula>100</formula>
    </cfRule>
  </conditionalFormatting>
  <conditionalFormatting sqref="M61:M103 P61:P103">
    <cfRule type="cellIs" dxfId="128" priority="8" operator="between">
      <formula>0</formula>
      <formula>100</formula>
    </cfRule>
  </conditionalFormatting>
  <conditionalFormatting sqref="V6:V51">
    <cfRule type="cellIs" dxfId="127" priority="21" operator="between">
      <formula>65</formula>
      <formula>100</formula>
    </cfRule>
    <cfRule type="cellIs" dxfId="126" priority="22" operator="lessThan">
      <formula>65</formula>
    </cfRule>
  </conditionalFormatting>
  <conditionalFormatting sqref="V61:V103">
    <cfRule type="cellIs" dxfId="125" priority="6" operator="between">
      <formula>65</formula>
      <formula>100</formula>
    </cfRule>
    <cfRule type="cellIs" dxfId="124" priority="7" operator="lessThan">
      <formula>65</formula>
    </cfRule>
  </conditionalFormatting>
  <pageMargins left="0.7" right="0.7" top="0.75" bottom="0.75" header="0" footer="0"/>
  <pageSetup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06"/>
  <sheetViews>
    <sheetView view="pageLayout" topLeftCell="A167" zoomScaleNormal="90" workbookViewId="0">
      <selection activeCell="B6" sqref="B6"/>
    </sheetView>
  </sheetViews>
  <sheetFormatPr baseColWidth="10" defaultColWidth="14.42578125" defaultRowHeight="15" customHeight="1" x14ac:dyDescent="0.25"/>
  <cols>
    <col min="1" max="1" width="3.28515625" style="1" customWidth="1"/>
    <col min="2" max="2" width="39.85546875" style="95" customWidth="1"/>
    <col min="3" max="3" width="4.28515625" style="1" customWidth="1"/>
    <col min="4" max="8" width="4" style="1" customWidth="1"/>
    <col min="9" max="9" width="5" style="1" customWidth="1"/>
    <col min="10" max="10" width="4.28515625" style="1" customWidth="1"/>
    <col min="11" max="11" width="3.7109375" style="1" customWidth="1"/>
    <col min="12" max="12" width="3.5703125" style="1" customWidth="1"/>
    <col min="13" max="13" width="5.140625" style="1" customWidth="1"/>
    <col min="14" max="14" width="4.5703125" style="1" customWidth="1"/>
    <col min="15" max="15" width="3.5703125" style="1" customWidth="1"/>
    <col min="16" max="16" width="5.42578125" style="1" customWidth="1"/>
    <col min="17" max="19" width="3.5703125" style="1" customWidth="1"/>
    <col min="20" max="20" width="4" style="1" customWidth="1"/>
    <col min="21" max="21" width="3.5703125" style="1" customWidth="1"/>
    <col min="22" max="22" width="6.28515625" style="1" customWidth="1"/>
    <col min="23" max="23" width="0.140625" style="1" customWidth="1"/>
    <col min="24" max="24" width="0.5703125" style="1" hidden="1" customWidth="1"/>
    <col min="25" max="27" width="4.140625" style="1" customWidth="1"/>
    <col min="28" max="16384" width="14.42578125" style="1"/>
  </cols>
  <sheetData>
    <row r="1" spans="1:24" ht="87.75" customHeight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2"/>
      <c r="Q1" s="288"/>
      <c r="R1" s="289"/>
      <c r="S1" s="289"/>
      <c r="T1" s="289"/>
      <c r="U1" s="289"/>
      <c r="V1" s="289"/>
      <c r="W1" s="289"/>
      <c r="X1" s="289"/>
    </row>
    <row r="2" spans="1:24" ht="15.75" thickBot="1" x14ac:dyDescent="0.3">
      <c r="A2" s="296" t="s">
        <v>18</v>
      </c>
      <c r="B2" s="297"/>
      <c r="C2" s="298" t="s">
        <v>931</v>
      </c>
      <c r="D2" s="299"/>
      <c r="E2" s="299"/>
      <c r="F2" s="299"/>
      <c r="G2" s="299"/>
      <c r="H2" s="299"/>
      <c r="I2" s="300"/>
      <c r="J2" s="223" t="s">
        <v>20</v>
      </c>
      <c r="K2" s="224"/>
      <c r="L2" s="224"/>
      <c r="M2" s="224"/>
      <c r="N2" s="225"/>
      <c r="O2" s="225"/>
      <c r="P2" s="225"/>
      <c r="Q2" s="226"/>
      <c r="R2" s="227" t="s">
        <v>25</v>
      </c>
      <c r="S2" s="228"/>
      <c r="T2" s="228"/>
      <c r="U2" s="228"/>
      <c r="V2" s="228"/>
      <c r="W2" s="228"/>
      <c r="X2" s="229"/>
    </row>
    <row r="3" spans="1:24" ht="20.25" customHeight="1" x14ac:dyDescent="0.25">
      <c r="A3" s="230" t="s">
        <v>0</v>
      </c>
      <c r="B3" s="293" t="s">
        <v>1</v>
      </c>
      <c r="C3" s="235" t="s">
        <v>12</v>
      </c>
      <c r="D3" s="235"/>
      <c r="E3" s="235"/>
      <c r="F3" s="235"/>
      <c r="G3" s="235"/>
      <c r="H3" s="235"/>
      <c r="I3" s="235"/>
      <c r="J3" s="235"/>
      <c r="K3" s="236" t="s">
        <v>13</v>
      </c>
      <c r="L3" s="237"/>
      <c r="M3" s="237"/>
      <c r="N3" s="240" t="s">
        <v>15</v>
      </c>
      <c r="O3" s="240"/>
      <c r="P3" s="240"/>
      <c r="Q3" s="241" t="s">
        <v>4</v>
      </c>
      <c r="R3" s="244" t="s">
        <v>11</v>
      </c>
      <c r="S3" s="244"/>
      <c r="T3" s="244"/>
      <c r="U3" s="244"/>
      <c r="V3" s="244"/>
      <c r="W3" s="246" t="s">
        <v>2</v>
      </c>
      <c r="X3" s="247"/>
    </row>
    <row r="4" spans="1:24" ht="15" customHeight="1" x14ac:dyDescent="0.25">
      <c r="A4" s="231"/>
      <c r="B4" s="294"/>
      <c r="C4" s="248" t="s">
        <v>6</v>
      </c>
      <c r="D4" s="248" t="s">
        <v>17</v>
      </c>
      <c r="E4" s="248" t="s">
        <v>5</v>
      </c>
      <c r="F4" s="250"/>
      <c r="G4" s="250"/>
      <c r="H4" s="250"/>
      <c r="I4" s="251" t="s">
        <v>16</v>
      </c>
      <c r="J4" s="253" t="s">
        <v>14</v>
      </c>
      <c r="K4" s="238"/>
      <c r="L4" s="239"/>
      <c r="M4" s="239"/>
      <c r="N4" s="240"/>
      <c r="O4" s="240"/>
      <c r="P4" s="240"/>
      <c r="Q4" s="242"/>
      <c r="R4" s="245"/>
      <c r="S4" s="245"/>
      <c r="T4" s="245"/>
      <c r="U4" s="245"/>
      <c r="V4" s="245"/>
      <c r="W4" s="187"/>
      <c r="X4" s="187"/>
    </row>
    <row r="5" spans="1:24" ht="38.450000000000003" customHeight="1" thickBot="1" x14ac:dyDescent="0.3">
      <c r="A5" s="232"/>
      <c r="B5" s="295"/>
      <c r="C5" s="249"/>
      <c r="D5" s="249"/>
      <c r="E5" s="249"/>
      <c r="F5" s="249"/>
      <c r="G5" s="249"/>
      <c r="H5" s="249"/>
      <c r="I5" s="252"/>
      <c r="J5" s="254"/>
      <c r="K5" s="2" t="s">
        <v>9</v>
      </c>
      <c r="L5" s="2" t="s">
        <v>10</v>
      </c>
      <c r="M5" s="21" t="s">
        <v>3</v>
      </c>
      <c r="N5" s="2" t="s">
        <v>9</v>
      </c>
      <c r="O5" s="2" t="s">
        <v>10</v>
      </c>
      <c r="P5" s="22" t="s">
        <v>3</v>
      </c>
      <c r="Q5" s="243"/>
      <c r="R5" s="198" t="s">
        <v>7</v>
      </c>
      <c r="S5" s="199"/>
      <c r="T5" s="199"/>
      <c r="U5" s="200"/>
      <c r="V5" s="23" t="s">
        <v>8</v>
      </c>
      <c r="W5" s="5">
        <v>1</v>
      </c>
      <c r="X5" s="5">
        <v>2</v>
      </c>
    </row>
    <row r="6" spans="1:24" x14ac:dyDescent="0.25">
      <c r="A6" s="6">
        <v>1</v>
      </c>
      <c r="B6" s="110" t="s">
        <v>557</v>
      </c>
      <c r="C6" s="8"/>
      <c r="D6" s="8"/>
      <c r="E6" s="8"/>
      <c r="F6" s="8"/>
      <c r="G6" s="8"/>
      <c r="H6" s="8"/>
      <c r="I6" s="9"/>
      <c r="J6" s="15" t="e">
        <f>((AVERAGE(C6:H6))*72%)+I6*8%</f>
        <v>#DIV/0!</v>
      </c>
      <c r="K6" s="8"/>
      <c r="L6" s="8"/>
      <c r="M6" s="15" t="e">
        <f>(AVERAGE(K6:L6))*10%</f>
        <v>#DIV/0!</v>
      </c>
      <c r="N6" s="9"/>
      <c r="O6" s="9"/>
      <c r="P6" s="15" t="e">
        <f>(AVERAGE(N6:O6))*10%</f>
        <v>#DIV/0!</v>
      </c>
      <c r="Q6" s="8"/>
      <c r="R6" s="201" t="e">
        <f>IF(V6&lt;65,"BAJO",IF(V6&lt;=79,"BASICO",IF(V6&lt;=89,"ALTO",IF(V6&lt;=100,"SUPERIOR"))))</f>
        <v>#DIV/0!</v>
      </c>
      <c r="S6" s="202"/>
      <c r="T6" s="202"/>
      <c r="U6" s="203"/>
      <c r="V6" s="14" t="e">
        <f>J6+M6+P6</f>
        <v>#DIV/0!</v>
      </c>
      <c r="W6" s="10"/>
      <c r="X6" s="10"/>
    </row>
    <row r="7" spans="1:24" x14ac:dyDescent="0.25">
      <c r="A7" s="6">
        <v>2</v>
      </c>
      <c r="B7" s="111" t="s">
        <v>541</v>
      </c>
      <c r="C7" s="8"/>
      <c r="D7" s="8"/>
      <c r="E7" s="8"/>
      <c r="F7" s="8"/>
      <c r="G7" s="8"/>
      <c r="H7" s="8"/>
      <c r="I7" s="9"/>
      <c r="J7" s="15" t="e">
        <f t="shared" ref="J7:J49" si="0">((AVERAGE(C7:H7))*72%)+I7*8%</f>
        <v>#DIV/0!</v>
      </c>
      <c r="K7" s="8"/>
      <c r="L7" s="8"/>
      <c r="M7" s="15" t="e">
        <f t="shared" ref="M7:M51" si="1">(AVERAGE(K7:L7))*10%</f>
        <v>#DIV/0!</v>
      </c>
      <c r="N7" s="8"/>
      <c r="O7" s="8"/>
      <c r="P7" s="15" t="e">
        <f t="shared" ref="P7:P51" si="2">(AVERAGE(N7:O7))*10%</f>
        <v>#DIV/0!</v>
      </c>
      <c r="Q7" s="11"/>
      <c r="R7" s="201" t="e">
        <f t="shared" ref="R7:R51" si="3">IF(V7&lt;65,"BAJO",IF(V7&lt;=79,"BASICO",IF(V7&lt;=89,"ALTO",IF(V7&lt;=100,"SUPERIOR"))))</f>
        <v>#DIV/0!</v>
      </c>
      <c r="S7" s="202"/>
      <c r="T7" s="202"/>
      <c r="U7" s="203"/>
      <c r="V7" s="14" t="e">
        <f t="shared" ref="V7:V51" si="4">J7+M7+P7</f>
        <v>#DIV/0!</v>
      </c>
      <c r="W7" s="10"/>
      <c r="X7" s="10"/>
    </row>
    <row r="8" spans="1:24" x14ac:dyDescent="0.25">
      <c r="A8" s="6">
        <v>3</v>
      </c>
      <c r="B8" s="111" t="s">
        <v>93</v>
      </c>
      <c r="C8" s="8"/>
      <c r="D8" s="8"/>
      <c r="E8" s="8"/>
      <c r="F8" s="8"/>
      <c r="G8" s="8"/>
      <c r="H8" s="8"/>
      <c r="I8" s="9"/>
      <c r="J8" s="15" t="e">
        <f t="shared" si="0"/>
        <v>#DIV/0!</v>
      </c>
      <c r="K8" s="8"/>
      <c r="L8" s="8"/>
      <c r="M8" s="15" t="e">
        <f t="shared" si="1"/>
        <v>#DIV/0!</v>
      </c>
      <c r="N8" s="8"/>
      <c r="O8" s="8"/>
      <c r="P8" s="15" t="e">
        <f t="shared" si="2"/>
        <v>#DIV/0!</v>
      </c>
      <c r="Q8" s="11"/>
      <c r="R8" s="201" t="e">
        <f t="shared" si="3"/>
        <v>#DIV/0!</v>
      </c>
      <c r="S8" s="202"/>
      <c r="T8" s="202"/>
      <c r="U8" s="203"/>
      <c r="V8" s="14" t="e">
        <f t="shared" si="4"/>
        <v>#DIV/0!</v>
      </c>
      <c r="W8" s="10"/>
      <c r="X8" s="10"/>
    </row>
    <row r="9" spans="1:24" x14ac:dyDescent="0.25">
      <c r="A9" s="6">
        <v>4</v>
      </c>
      <c r="B9" s="111" t="s">
        <v>94</v>
      </c>
      <c r="C9" s="8"/>
      <c r="D9" s="8"/>
      <c r="E9" s="8"/>
      <c r="F9" s="8"/>
      <c r="G9" s="8"/>
      <c r="H9" s="8"/>
      <c r="I9" s="8"/>
      <c r="J9" s="15" t="e">
        <f t="shared" si="0"/>
        <v>#DIV/0!</v>
      </c>
      <c r="K9" s="8"/>
      <c r="L9" s="8"/>
      <c r="M9" s="15" t="e">
        <f t="shared" si="1"/>
        <v>#DIV/0!</v>
      </c>
      <c r="N9" s="8"/>
      <c r="O9" s="8"/>
      <c r="P9" s="15" t="e">
        <f t="shared" si="2"/>
        <v>#DIV/0!</v>
      </c>
      <c r="Q9" s="11"/>
      <c r="R9" s="201" t="e">
        <f t="shared" si="3"/>
        <v>#DIV/0!</v>
      </c>
      <c r="S9" s="202"/>
      <c r="T9" s="202"/>
      <c r="U9" s="203"/>
      <c r="V9" s="14" t="e">
        <f t="shared" si="4"/>
        <v>#DIV/0!</v>
      </c>
      <c r="W9" s="10"/>
      <c r="X9" s="10"/>
    </row>
    <row r="10" spans="1:24" x14ac:dyDescent="0.25">
      <c r="A10" s="6">
        <v>5</v>
      </c>
      <c r="B10" s="111" t="s">
        <v>96</v>
      </c>
      <c r="C10" s="8"/>
      <c r="D10" s="8"/>
      <c r="E10" s="8"/>
      <c r="F10" s="8"/>
      <c r="G10" s="8"/>
      <c r="H10" s="8"/>
      <c r="I10" s="8"/>
      <c r="J10" s="15" t="e">
        <f t="shared" si="0"/>
        <v>#DIV/0!</v>
      </c>
      <c r="K10" s="8"/>
      <c r="L10" s="8"/>
      <c r="M10" s="15" t="e">
        <f t="shared" si="1"/>
        <v>#DIV/0!</v>
      </c>
      <c r="N10" s="8"/>
      <c r="O10" s="8"/>
      <c r="P10" s="15" t="e">
        <f t="shared" si="2"/>
        <v>#DIV/0!</v>
      </c>
      <c r="Q10" s="10"/>
      <c r="R10" s="201" t="e">
        <f t="shared" si="3"/>
        <v>#DIV/0!</v>
      </c>
      <c r="S10" s="202"/>
      <c r="T10" s="202"/>
      <c r="U10" s="203"/>
      <c r="V10" s="14" t="e">
        <f t="shared" si="4"/>
        <v>#DIV/0!</v>
      </c>
      <c r="W10" s="10"/>
      <c r="X10" s="10"/>
    </row>
    <row r="11" spans="1:24" x14ac:dyDescent="0.25">
      <c r="A11" s="6">
        <v>6</v>
      </c>
      <c r="B11" s="111" t="s">
        <v>65</v>
      </c>
      <c r="C11" s="8"/>
      <c r="D11" s="8"/>
      <c r="E11" s="8"/>
      <c r="F11" s="8"/>
      <c r="G11" s="8"/>
      <c r="H11" s="8"/>
      <c r="I11" s="8"/>
      <c r="J11" s="15" t="e">
        <f t="shared" si="0"/>
        <v>#DIV/0!</v>
      </c>
      <c r="K11" s="8"/>
      <c r="L11" s="8"/>
      <c r="M11" s="15" t="e">
        <f t="shared" si="1"/>
        <v>#DIV/0!</v>
      </c>
      <c r="N11" s="8"/>
      <c r="O11" s="8"/>
      <c r="P11" s="15" t="e">
        <f t="shared" si="2"/>
        <v>#DIV/0!</v>
      </c>
      <c r="Q11" s="10"/>
      <c r="R11" s="201" t="e">
        <f t="shared" si="3"/>
        <v>#DIV/0!</v>
      </c>
      <c r="S11" s="202"/>
      <c r="T11" s="202"/>
      <c r="U11" s="203"/>
      <c r="V11" s="14" t="e">
        <f t="shared" si="4"/>
        <v>#DIV/0!</v>
      </c>
      <c r="W11" s="10"/>
      <c r="X11" s="10"/>
    </row>
    <row r="12" spans="1:24" x14ac:dyDescent="0.25">
      <c r="A12" s="6">
        <v>7</v>
      </c>
      <c r="B12" s="111" t="s">
        <v>109</v>
      </c>
      <c r="C12" s="8"/>
      <c r="D12" s="8"/>
      <c r="E12" s="8"/>
      <c r="F12" s="8"/>
      <c r="G12" s="8"/>
      <c r="H12" s="8"/>
      <c r="I12" s="8"/>
      <c r="J12" s="15" t="e">
        <f t="shared" si="0"/>
        <v>#DIV/0!</v>
      </c>
      <c r="K12" s="8"/>
      <c r="L12" s="8"/>
      <c r="M12" s="15" t="e">
        <f t="shared" si="1"/>
        <v>#DIV/0!</v>
      </c>
      <c r="N12" s="8"/>
      <c r="O12" s="8"/>
      <c r="P12" s="15" t="e">
        <f t="shared" si="2"/>
        <v>#DIV/0!</v>
      </c>
      <c r="Q12" s="10"/>
      <c r="R12" s="201" t="e">
        <f t="shared" si="3"/>
        <v>#DIV/0!</v>
      </c>
      <c r="S12" s="202"/>
      <c r="T12" s="202"/>
      <c r="U12" s="203"/>
      <c r="V12" s="14" t="e">
        <f t="shared" si="4"/>
        <v>#DIV/0!</v>
      </c>
      <c r="W12" s="10"/>
      <c r="X12" s="10"/>
    </row>
    <row r="13" spans="1:24" x14ac:dyDescent="0.25">
      <c r="A13" s="6">
        <v>8</v>
      </c>
      <c r="B13" s="111" t="s">
        <v>66</v>
      </c>
      <c r="C13" s="8"/>
      <c r="D13" s="8"/>
      <c r="E13" s="8"/>
      <c r="F13" s="8"/>
      <c r="G13" s="8"/>
      <c r="H13" s="8"/>
      <c r="I13" s="8"/>
      <c r="J13" s="15" t="e">
        <f t="shared" si="0"/>
        <v>#DIV/0!</v>
      </c>
      <c r="K13" s="8"/>
      <c r="L13" s="8"/>
      <c r="M13" s="15" t="e">
        <f t="shared" si="1"/>
        <v>#DIV/0!</v>
      </c>
      <c r="N13" s="8"/>
      <c r="O13" s="8"/>
      <c r="P13" s="15" t="e">
        <f t="shared" si="2"/>
        <v>#DIV/0!</v>
      </c>
      <c r="Q13" s="10"/>
      <c r="R13" s="201" t="e">
        <f t="shared" si="3"/>
        <v>#DIV/0!</v>
      </c>
      <c r="S13" s="202"/>
      <c r="T13" s="202"/>
      <c r="U13" s="203"/>
      <c r="V13" s="14" t="e">
        <f t="shared" si="4"/>
        <v>#DIV/0!</v>
      </c>
      <c r="W13" s="10"/>
      <c r="X13" s="10"/>
    </row>
    <row r="14" spans="1:24" x14ac:dyDescent="0.25">
      <c r="A14" s="6">
        <v>9</v>
      </c>
      <c r="B14" s="111" t="s">
        <v>110</v>
      </c>
      <c r="C14" s="8"/>
      <c r="D14" s="8"/>
      <c r="E14" s="8"/>
      <c r="F14" s="8"/>
      <c r="G14" s="8"/>
      <c r="H14" s="8"/>
      <c r="I14" s="8"/>
      <c r="J14" s="15" t="e">
        <f t="shared" si="0"/>
        <v>#DIV/0!</v>
      </c>
      <c r="K14" s="8"/>
      <c r="L14" s="8"/>
      <c r="M14" s="15" t="e">
        <f t="shared" si="1"/>
        <v>#DIV/0!</v>
      </c>
      <c r="N14" s="8"/>
      <c r="O14" s="8"/>
      <c r="P14" s="15" t="e">
        <f t="shared" si="2"/>
        <v>#DIV/0!</v>
      </c>
      <c r="Q14" s="10"/>
      <c r="R14" s="201" t="e">
        <f t="shared" si="3"/>
        <v>#DIV/0!</v>
      </c>
      <c r="S14" s="202"/>
      <c r="T14" s="202"/>
      <c r="U14" s="203"/>
      <c r="V14" s="14" t="e">
        <f t="shared" si="4"/>
        <v>#DIV/0!</v>
      </c>
      <c r="W14" s="10"/>
      <c r="X14" s="10"/>
    </row>
    <row r="15" spans="1:24" x14ac:dyDescent="0.25">
      <c r="A15" s="6">
        <v>10</v>
      </c>
      <c r="B15" s="111" t="s">
        <v>68</v>
      </c>
      <c r="C15" s="8"/>
      <c r="D15" s="8"/>
      <c r="E15" s="8"/>
      <c r="F15" s="8"/>
      <c r="G15" s="8"/>
      <c r="H15" s="8"/>
      <c r="I15" s="8"/>
      <c r="J15" s="15" t="e">
        <f t="shared" si="0"/>
        <v>#DIV/0!</v>
      </c>
      <c r="K15" s="8"/>
      <c r="L15" s="8"/>
      <c r="M15" s="15" t="e">
        <f t="shared" si="1"/>
        <v>#DIV/0!</v>
      </c>
      <c r="N15" s="8"/>
      <c r="O15" s="8"/>
      <c r="P15" s="15" t="e">
        <f t="shared" si="2"/>
        <v>#DIV/0!</v>
      </c>
      <c r="Q15" s="10"/>
      <c r="R15" s="201" t="e">
        <f t="shared" si="3"/>
        <v>#DIV/0!</v>
      </c>
      <c r="S15" s="202"/>
      <c r="T15" s="202"/>
      <c r="U15" s="203"/>
      <c r="V15" s="14" t="e">
        <f t="shared" si="4"/>
        <v>#DIV/0!</v>
      </c>
      <c r="W15" s="10"/>
      <c r="X15" s="10"/>
    </row>
    <row r="16" spans="1:24" x14ac:dyDescent="0.25">
      <c r="A16" s="6">
        <v>11</v>
      </c>
      <c r="B16" s="111" t="s">
        <v>111</v>
      </c>
      <c r="C16" s="8"/>
      <c r="D16" s="8"/>
      <c r="E16" s="8"/>
      <c r="F16" s="8"/>
      <c r="G16" s="8"/>
      <c r="H16" s="8"/>
      <c r="I16" s="8"/>
      <c r="J16" s="15" t="e">
        <f t="shared" si="0"/>
        <v>#DIV/0!</v>
      </c>
      <c r="K16" s="8"/>
      <c r="L16" s="8"/>
      <c r="M16" s="15" t="e">
        <f t="shared" si="1"/>
        <v>#DIV/0!</v>
      </c>
      <c r="N16" s="8"/>
      <c r="O16" s="8"/>
      <c r="P16" s="15" t="e">
        <f t="shared" si="2"/>
        <v>#DIV/0!</v>
      </c>
      <c r="Q16" s="10"/>
      <c r="R16" s="201" t="e">
        <f t="shared" si="3"/>
        <v>#DIV/0!</v>
      </c>
      <c r="S16" s="202"/>
      <c r="T16" s="202"/>
      <c r="U16" s="203"/>
      <c r="V16" s="14" t="e">
        <f t="shared" si="4"/>
        <v>#DIV/0!</v>
      </c>
      <c r="W16" s="10"/>
      <c r="X16" s="10"/>
    </row>
    <row r="17" spans="1:24" x14ac:dyDescent="0.25">
      <c r="A17" s="6">
        <v>12</v>
      </c>
      <c r="B17" s="111" t="s">
        <v>112</v>
      </c>
      <c r="C17" s="8"/>
      <c r="D17" s="8"/>
      <c r="E17" s="8"/>
      <c r="F17" s="8"/>
      <c r="G17" s="8"/>
      <c r="H17" s="8"/>
      <c r="I17" s="8"/>
      <c r="J17" s="15" t="e">
        <f t="shared" si="0"/>
        <v>#DIV/0!</v>
      </c>
      <c r="K17" s="8"/>
      <c r="L17" s="8"/>
      <c r="M17" s="15" t="e">
        <f t="shared" si="1"/>
        <v>#DIV/0!</v>
      </c>
      <c r="N17" s="8"/>
      <c r="O17" s="8"/>
      <c r="P17" s="15" t="e">
        <f t="shared" si="2"/>
        <v>#DIV/0!</v>
      </c>
      <c r="Q17" s="10"/>
      <c r="R17" s="201" t="e">
        <f t="shared" si="3"/>
        <v>#DIV/0!</v>
      </c>
      <c r="S17" s="202"/>
      <c r="T17" s="202"/>
      <c r="U17" s="203"/>
      <c r="V17" s="14" t="e">
        <f t="shared" si="4"/>
        <v>#DIV/0!</v>
      </c>
      <c r="W17" s="10"/>
      <c r="X17" s="10"/>
    </row>
    <row r="18" spans="1:24" x14ac:dyDescent="0.25">
      <c r="A18" s="6">
        <v>13</v>
      </c>
      <c r="B18" s="111" t="s">
        <v>70</v>
      </c>
      <c r="C18" s="8"/>
      <c r="D18" s="8"/>
      <c r="E18" s="8"/>
      <c r="F18" s="8"/>
      <c r="G18" s="8"/>
      <c r="H18" s="8"/>
      <c r="I18" s="8"/>
      <c r="J18" s="15" t="e">
        <f t="shared" si="0"/>
        <v>#DIV/0!</v>
      </c>
      <c r="K18" s="8"/>
      <c r="L18" s="8"/>
      <c r="M18" s="15" t="e">
        <f t="shared" si="1"/>
        <v>#DIV/0!</v>
      </c>
      <c r="N18" s="8"/>
      <c r="O18" s="8"/>
      <c r="P18" s="15" t="e">
        <f t="shared" si="2"/>
        <v>#DIV/0!</v>
      </c>
      <c r="Q18" s="10"/>
      <c r="R18" s="201" t="e">
        <f t="shared" si="3"/>
        <v>#DIV/0!</v>
      </c>
      <c r="S18" s="202"/>
      <c r="T18" s="202"/>
      <c r="U18" s="203"/>
      <c r="V18" s="14" t="e">
        <f t="shared" si="4"/>
        <v>#DIV/0!</v>
      </c>
      <c r="W18" s="10"/>
      <c r="X18" s="10"/>
    </row>
    <row r="19" spans="1:24" x14ac:dyDescent="0.25">
      <c r="A19" s="6">
        <v>14</v>
      </c>
      <c r="B19" s="111" t="s">
        <v>71</v>
      </c>
      <c r="C19" s="8"/>
      <c r="D19" s="8"/>
      <c r="E19" s="8"/>
      <c r="F19" s="8"/>
      <c r="G19" s="8"/>
      <c r="H19" s="8"/>
      <c r="I19" s="8"/>
      <c r="J19" s="15" t="e">
        <f t="shared" si="0"/>
        <v>#DIV/0!</v>
      </c>
      <c r="K19" s="8"/>
      <c r="L19" s="8"/>
      <c r="M19" s="15" t="e">
        <f t="shared" si="1"/>
        <v>#DIV/0!</v>
      </c>
      <c r="N19" s="8"/>
      <c r="O19" s="8"/>
      <c r="P19" s="15" t="e">
        <f t="shared" si="2"/>
        <v>#DIV/0!</v>
      </c>
      <c r="Q19" s="10"/>
      <c r="R19" s="201" t="e">
        <f t="shared" si="3"/>
        <v>#DIV/0!</v>
      </c>
      <c r="S19" s="202"/>
      <c r="T19" s="202"/>
      <c r="U19" s="203"/>
      <c r="V19" s="14" t="e">
        <f t="shared" si="4"/>
        <v>#DIV/0!</v>
      </c>
      <c r="W19" s="10"/>
      <c r="X19" s="10"/>
    </row>
    <row r="20" spans="1:24" x14ac:dyDescent="0.25">
      <c r="A20" s="6">
        <v>15</v>
      </c>
      <c r="B20" s="111" t="s">
        <v>48</v>
      </c>
      <c r="C20" s="8"/>
      <c r="D20" s="8"/>
      <c r="E20" s="8"/>
      <c r="F20" s="8"/>
      <c r="G20" s="8"/>
      <c r="H20" s="8"/>
      <c r="I20" s="8"/>
      <c r="J20" s="15" t="e">
        <f t="shared" si="0"/>
        <v>#DIV/0!</v>
      </c>
      <c r="K20" s="8"/>
      <c r="L20" s="8"/>
      <c r="M20" s="15" t="e">
        <f t="shared" si="1"/>
        <v>#DIV/0!</v>
      </c>
      <c r="N20" s="8"/>
      <c r="O20" s="8"/>
      <c r="P20" s="15" t="e">
        <f t="shared" si="2"/>
        <v>#DIV/0!</v>
      </c>
      <c r="Q20" s="10"/>
      <c r="R20" s="201" t="e">
        <f t="shared" si="3"/>
        <v>#DIV/0!</v>
      </c>
      <c r="S20" s="202"/>
      <c r="T20" s="202"/>
      <c r="U20" s="203"/>
      <c r="V20" s="14" t="e">
        <f t="shared" si="4"/>
        <v>#DIV/0!</v>
      </c>
      <c r="W20" s="10"/>
      <c r="X20" s="10"/>
    </row>
    <row r="21" spans="1:24" ht="15.75" customHeight="1" x14ac:dyDescent="0.25">
      <c r="A21" s="6">
        <v>16</v>
      </c>
      <c r="B21" s="111" t="s">
        <v>73</v>
      </c>
      <c r="C21" s="8"/>
      <c r="D21" s="8"/>
      <c r="E21" s="8"/>
      <c r="F21" s="8"/>
      <c r="G21" s="8"/>
      <c r="H21" s="8"/>
      <c r="I21" s="8"/>
      <c r="J21" s="15" t="e">
        <f t="shared" si="0"/>
        <v>#DIV/0!</v>
      </c>
      <c r="K21" s="8"/>
      <c r="L21" s="8"/>
      <c r="M21" s="15" t="e">
        <f t="shared" si="1"/>
        <v>#DIV/0!</v>
      </c>
      <c r="N21" s="8"/>
      <c r="O21" s="8"/>
      <c r="P21" s="15" t="e">
        <f t="shared" si="2"/>
        <v>#DIV/0!</v>
      </c>
      <c r="Q21" s="10"/>
      <c r="R21" s="201" t="e">
        <f t="shared" si="3"/>
        <v>#DIV/0!</v>
      </c>
      <c r="S21" s="202"/>
      <c r="T21" s="202"/>
      <c r="U21" s="203"/>
      <c r="V21" s="14" t="e">
        <f t="shared" si="4"/>
        <v>#DIV/0!</v>
      </c>
      <c r="W21" s="10"/>
      <c r="X21" s="10"/>
    </row>
    <row r="22" spans="1:24" ht="15.75" customHeight="1" x14ac:dyDescent="0.25">
      <c r="A22" s="6">
        <v>17</v>
      </c>
      <c r="B22" s="111" t="s">
        <v>74</v>
      </c>
      <c r="C22" s="8"/>
      <c r="D22" s="8"/>
      <c r="E22" s="8"/>
      <c r="F22" s="8"/>
      <c r="G22" s="8"/>
      <c r="H22" s="8"/>
      <c r="I22" s="13"/>
      <c r="J22" s="15" t="e">
        <f t="shared" si="0"/>
        <v>#DIV/0!</v>
      </c>
      <c r="K22" s="8"/>
      <c r="L22" s="8"/>
      <c r="M22" s="15" t="e">
        <f t="shared" si="1"/>
        <v>#DIV/0!</v>
      </c>
      <c r="N22" s="8"/>
      <c r="O22" s="8"/>
      <c r="P22" s="15" t="e">
        <f t="shared" si="2"/>
        <v>#DIV/0!</v>
      </c>
      <c r="Q22" s="10"/>
      <c r="R22" s="201" t="e">
        <f t="shared" si="3"/>
        <v>#DIV/0!</v>
      </c>
      <c r="S22" s="202"/>
      <c r="T22" s="202"/>
      <c r="U22" s="203"/>
      <c r="V22" s="14" t="e">
        <f t="shared" si="4"/>
        <v>#DIV/0!</v>
      </c>
      <c r="W22" s="10"/>
      <c r="X22" s="10"/>
    </row>
    <row r="23" spans="1:24" ht="15.75" customHeight="1" x14ac:dyDescent="0.25">
      <c r="A23" s="6">
        <v>18</v>
      </c>
      <c r="B23" s="111" t="s">
        <v>46</v>
      </c>
      <c r="C23" s="8"/>
      <c r="D23" s="8"/>
      <c r="E23" s="8"/>
      <c r="F23" s="8"/>
      <c r="G23" s="8"/>
      <c r="H23" s="8"/>
      <c r="I23" s="8"/>
      <c r="J23" s="15" t="e">
        <f t="shared" si="0"/>
        <v>#DIV/0!</v>
      </c>
      <c r="K23" s="8"/>
      <c r="L23" s="8"/>
      <c r="M23" s="15" t="e">
        <f t="shared" si="1"/>
        <v>#DIV/0!</v>
      </c>
      <c r="N23" s="8"/>
      <c r="O23" s="8"/>
      <c r="P23" s="15" t="e">
        <f t="shared" si="2"/>
        <v>#DIV/0!</v>
      </c>
      <c r="Q23" s="10"/>
      <c r="R23" s="201" t="e">
        <f t="shared" si="3"/>
        <v>#DIV/0!</v>
      </c>
      <c r="S23" s="202"/>
      <c r="T23" s="202"/>
      <c r="U23" s="203"/>
      <c r="V23" s="14" t="e">
        <f t="shared" si="4"/>
        <v>#DIV/0!</v>
      </c>
      <c r="W23" s="10"/>
      <c r="X23" s="10"/>
    </row>
    <row r="24" spans="1:24" ht="15.75" customHeight="1" x14ac:dyDescent="0.25">
      <c r="A24" s="6">
        <v>19</v>
      </c>
      <c r="B24" s="111" t="s">
        <v>543</v>
      </c>
      <c r="C24" s="8"/>
      <c r="D24" s="8"/>
      <c r="E24" s="8"/>
      <c r="F24" s="8"/>
      <c r="G24" s="8"/>
      <c r="H24" s="8"/>
      <c r="I24" s="8"/>
      <c r="J24" s="15" t="e">
        <f t="shared" si="0"/>
        <v>#DIV/0!</v>
      </c>
      <c r="K24" s="8"/>
      <c r="L24" s="8"/>
      <c r="M24" s="15" t="e">
        <f t="shared" si="1"/>
        <v>#DIV/0!</v>
      </c>
      <c r="N24" s="8"/>
      <c r="O24" s="8"/>
      <c r="P24" s="15" t="e">
        <f t="shared" si="2"/>
        <v>#DIV/0!</v>
      </c>
      <c r="Q24" s="10"/>
      <c r="R24" s="201" t="e">
        <f t="shared" si="3"/>
        <v>#DIV/0!</v>
      </c>
      <c r="S24" s="202"/>
      <c r="T24" s="202"/>
      <c r="U24" s="203"/>
      <c r="V24" s="14" t="e">
        <f t="shared" si="4"/>
        <v>#DIV/0!</v>
      </c>
      <c r="W24" s="10"/>
      <c r="X24" s="10"/>
    </row>
    <row r="25" spans="1:24" ht="15.75" customHeight="1" x14ac:dyDescent="0.25">
      <c r="A25" s="6">
        <v>20</v>
      </c>
      <c r="B25" s="111" t="s">
        <v>832</v>
      </c>
      <c r="C25" s="8"/>
      <c r="D25" s="8"/>
      <c r="E25" s="8"/>
      <c r="F25" s="8"/>
      <c r="G25" s="8"/>
      <c r="H25" s="8"/>
      <c r="I25" s="8"/>
      <c r="J25" s="15" t="e">
        <f t="shared" si="0"/>
        <v>#DIV/0!</v>
      </c>
      <c r="K25" s="8"/>
      <c r="L25" s="8"/>
      <c r="M25" s="15" t="e">
        <f t="shared" si="1"/>
        <v>#DIV/0!</v>
      </c>
      <c r="N25" s="8"/>
      <c r="O25" s="8"/>
      <c r="P25" s="15" t="e">
        <f t="shared" si="2"/>
        <v>#DIV/0!</v>
      </c>
      <c r="Q25" s="10"/>
      <c r="R25" s="201" t="e">
        <f t="shared" si="3"/>
        <v>#DIV/0!</v>
      </c>
      <c r="S25" s="202"/>
      <c r="T25" s="202"/>
      <c r="U25" s="203"/>
      <c r="V25" s="14" t="e">
        <f t="shared" si="4"/>
        <v>#DIV/0!</v>
      </c>
      <c r="W25" s="10"/>
      <c r="X25" s="10"/>
    </row>
    <row r="26" spans="1:24" ht="15.75" customHeight="1" x14ac:dyDescent="0.25">
      <c r="A26" s="6">
        <v>21</v>
      </c>
      <c r="B26" s="111" t="s">
        <v>77</v>
      </c>
      <c r="C26" s="8"/>
      <c r="D26" s="8"/>
      <c r="E26" s="8"/>
      <c r="F26" s="8"/>
      <c r="G26" s="8"/>
      <c r="H26" s="8"/>
      <c r="I26" s="8"/>
      <c r="J26" s="15" t="e">
        <f t="shared" si="0"/>
        <v>#DIV/0!</v>
      </c>
      <c r="K26" s="8"/>
      <c r="L26" s="8"/>
      <c r="M26" s="15" t="e">
        <f t="shared" si="1"/>
        <v>#DIV/0!</v>
      </c>
      <c r="N26" s="8"/>
      <c r="O26" s="8"/>
      <c r="P26" s="15" t="e">
        <f t="shared" si="2"/>
        <v>#DIV/0!</v>
      </c>
      <c r="Q26" s="10"/>
      <c r="R26" s="201" t="e">
        <f t="shared" si="3"/>
        <v>#DIV/0!</v>
      </c>
      <c r="S26" s="202"/>
      <c r="T26" s="202"/>
      <c r="U26" s="203"/>
      <c r="V26" s="14" t="e">
        <f t="shared" si="4"/>
        <v>#DIV/0!</v>
      </c>
      <c r="W26" s="10"/>
      <c r="X26" s="10"/>
    </row>
    <row r="27" spans="1:24" ht="15.75" customHeight="1" x14ac:dyDescent="0.25">
      <c r="A27" s="6">
        <v>22</v>
      </c>
      <c r="B27" s="111" t="s">
        <v>114</v>
      </c>
      <c r="C27" s="8"/>
      <c r="D27" s="8"/>
      <c r="E27" s="8"/>
      <c r="F27" s="8"/>
      <c r="G27" s="8"/>
      <c r="H27" s="8"/>
      <c r="I27" s="8"/>
      <c r="J27" s="15" t="e">
        <f t="shared" si="0"/>
        <v>#DIV/0!</v>
      </c>
      <c r="K27" s="8"/>
      <c r="L27" s="8"/>
      <c r="M27" s="15" t="e">
        <f t="shared" si="1"/>
        <v>#DIV/0!</v>
      </c>
      <c r="N27" s="8"/>
      <c r="O27" s="8"/>
      <c r="P27" s="15" t="e">
        <f t="shared" si="2"/>
        <v>#DIV/0!</v>
      </c>
      <c r="Q27" s="10"/>
      <c r="R27" s="201" t="e">
        <f t="shared" si="3"/>
        <v>#DIV/0!</v>
      </c>
      <c r="S27" s="202"/>
      <c r="T27" s="202"/>
      <c r="U27" s="203"/>
      <c r="V27" s="14" t="e">
        <f t="shared" si="4"/>
        <v>#DIV/0!</v>
      </c>
      <c r="W27" s="10"/>
      <c r="X27" s="10"/>
    </row>
    <row r="28" spans="1:24" ht="15.75" customHeight="1" x14ac:dyDescent="0.25">
      <c r="A28" s="6">
        <v>23</v>
      </c>
      <c r="B28" s="111" t="s">
        <v>79</v>
      </c>
      <c r="C28" s="8"/>
      <c r="D28" s="8"/>
      <c r="E28" s="8"/>
      <c r="F28" s="8"/>
      <c r="G28" s="8"/>
      <c r="H28" s="8"/>
      <c r="I28" s="8"/>
      <c r="J28" s="15" t="e">
        <f t="shared" si="0"/>
        <v>#DIV/0!</v>
      </c>
      <c r="K28" s="8"/>
      <c r="L28" s="8"/>
      <c r="M28" s="15" t="e">
        <f t="shared" si="1"/>
        <v>#DIV/0!</v>
      </c>
      <c r="N28" s="8"/>
      <c r="O28" s="8"/>
      <c r="P28" s="15" t="e">
        <f t="shared" si="2"/>
        <v>#DIV/0!</v>
      </c>
      <c r="Q28" s="10"/>
      <c r="R28" s="201" t="e">
        <f t="shared" si="3"/>
        <v>#DIV/0!</v>
      </c>
      <c r="S28" s="202"/>
      <c r="T28" s="202"/>
      <c r="U28" s="203"/>
      <c r="V28" s="14" t="e">
        <f t="shared" si="4"/>
        <v>#DIV/0!</v>
      </c>
      <c r="W28" s="10"/>
      <c r="X28" s="10"/>
    </row>
    <row r="29" spans="1:24" ht="15.75" customHeight="1" x14ac:dyDescent="0.25">
      <c r="A29" s="6">
        <v>24</v>
      </c>
      <c r="B29" s="111" t="s">
        <v>78</v>
      </c>
      <c r="C29" s="8"/>
      <c r="D29" s="8"/>
      <c r="E29" s="8"/>
      <c r="F29" s="8"/>
      <c r="G29" s="8"/>
      <c r="H29" s="8"/>
      <c r="I29" s="8"/>
      <c r="J29" s="15" t="e">
        <f t="shared" si="0"/>
        <v>#DIV/0!</v>
      </c>
      <c r="K29" s="8"/>
      <c r="L29" s="8"/>
      <c r="M29" s="15" t="e">
        <f t="shared" si="1"/>
        <v>#DIV/0!</v>
      </c>
      <c r="N29" s="8"/>
      <c r="O29" s="8"/>
      <c r="P29" s="15" t="e">
        <f t="shared" si="2"/>
        <v>#DIV/0!</v>
      </c>
      <c r="Q29" s="10"/>
      <c r="R29" s="201" t="e">
        <f t="shared" si="3"/>
        <v>#DIV/0!</v>
      </c>
      <c r="S29" s="202"/>
      <c r="T29" s="202"/>
      <c r="U29" s="203"/>
      <c r="V29" s="14" t="e">
        <f t="shared" si="4"/>
        <v>#DIV/0!</v>
      </c>
      <c r="W29" s="10"/>
      <c r="X29" s="10"/>
    </row>
    <row r="30" spans="1:24" ht="15.75" customHeight="1" x14ac:dyDescent="0.25">
      <c r="A30" s="6">
        <v>25</v>
      </c>
      <c r="B30" s="111" t="s">
        <v>100</v>
      </c>
      <c r="C30" s="8"/>
      <c r="D30" s="8"/>
      <c r="E30" s="8"/>
      <c r="F30" s="8"/>
      <c r="G30" s="8"/>
      <c r="H30" s="8"/>
      <c r="I30" s="8"/>
      <c r="J30" s="15" t="e">
        <f t="shared" si="0"/>
        <v>#DIV/0!</v>
      </c>
      <c r="K30" s="8"/>
      <c r="L30" s="8"/>
      <c r="M30" s="15" t="e">
        <f t="shared" si="1"/>
        <v>#DIV/0!</v>
      </c>
      <c r="N30" s="8"/>
      <c r="O30" s="8"/>
      <c r="P30" s="15" t="e">
        <f t="shared" si="2"/>
        <v>#DIV/0!</v>
      </c>
      <c r="Q30" s="10"/>
      <c r="R30" s="201" t="e">
        <f t="shared" si="3"/>
        <v>#DIV/0!</v>
      </c>
      <c r="S30" s="202"/>
      <c r="T30" s="202"/>
      <c r="U30" s="203"/>
      <c r="V30" s="14" t="e">
        <f t="shared" si="4"/>
        <v>#DIV/0!</v>
      </c>
      <c r="W30" s="10"/>
      <c r="X30" s="10"/>
    </row>
    <row r="31" spans="1:24" ht="15.75" customHeight="1" x14ac:dyDescent="0.25">
      <c r="A31" s="6">
        <v>26</v>
      </c>
      <c r="B31" s="111" t="s">
        <v>80</v>
      </c>
      <c r="C31" s="8"/>
      <c r="D31" s="8"/>
      <c r="E31" s="8"/>
      <c r="F31" s="8"/>
      <c r="G31" s="8"/>
      <c r="H31" s="8"/>
      <c r="I31" s="8"/>
      <c r="J31" s="15" t="e">
        <f t="shared" si="0"/>
        <v>#DIV/0!</v>
      </c>
      <c r="K31" s="8"/>
      <c r="L31" s="8"/>
      <c r="M31" s="15" t="e">
        <f t="shared" si="1"/>
        <v>#DIV/0!</v>
      </c>
      <c r="N31" s="8"/>
      <c r="O31" s="8"/>
      <c r="P31" s="15" t="e">
        <f t="shared" si="2"/>
        <v>#DIV/0!</v>
      </c>
      <c r="Q31" s="10"/>
      <c r="R31" s="201" t="e">
        <f t="shared" si="3"/>
        <v>#DIV/0!</v>
      </c>
      <c r="S31" s="202"/>
      <c r="T31" s="202"/>
      <c r="U31" s="203"/>
      <c r="V31" s="14" t="e">
        <f t="shared" si="4"/>
        <v>#DIV/0!</v>
      </c>
      <c r="W31" s="10"/>
      <c r="X31" s="10"/>
    </row>
    <row r="32" spans="1:24" ht="15.75" customHeight="1" x14ac:dyDescent="0.25">
      <c r="A32" s="6">
        <v>27</v>
      </c>
      <c r="B32" s="111" t="s">
        <v>81</v>
      </c>
      <c r="C32" s="8"/>
      <c r="D32" s="8"/>
      <c r="E32" s="8"/>
      <c r="F32" s="8"/>
      <c r="G32" s="8"/>
      <c r="H32" s="8"/>
      <c r="I32" s="8"/>
      <c r="J32" s="15" t="e">
        <f t="shared" si="0"/>
        <v>#DIV/0!</v>
      </c>
      <c r="K32" s="8"/>
      <c r="L32" s="8"/>
      <c r="M32" s="15" t="e">
        <f t="shared" si="1"/>
        <v>#DIV/0!</v>
      </c>
      <c r="N32" s="8"/>
      <c r="O32" s="8"/>
      <c r="P32" s="15" t="e">
        <f t="shared" si="2"/>
        <v>#DIV/0!</v>
      </c>
      <c r="Q32" s="10"/>
      <c r="R32" s="201" t="e">
        <f t="shared" si="3"/>
        <v>#DIV/0!</v>
      </c>
      <c r="S32" s="202"/>
      <c r="T32" s="202"/>
      <c r="U32" s="203"/>
      <c r="V32" s="14" t="e">
        <f t="shared" si="4"/>
        <v>#DIV/0!</v>
      </c>
      <c r="W32" s="10"/>
      <c r="X32" s="10"/>
    </row>
    <row r="33" spans="1:24" ht="15.75" customHeight="1" x14ac:dyDescent="0.25">
      <c r="A33" s="6">
        <v>28</v>
      </c>
      <c r="B33" s="111" t="s">
        <v>83</v>
      </c>
      <c r="C33" s="8"/>
      <c r="D33" s="8"/>
      <c r="E33" s="8"/>
      <c r="F33" s="8"/>
      <c r="G33" s="8"/>
      <c r="H33" s="8"/>
      <c r="I33" s="8"/>
      <c r="J33" s="15" t="e">
        <f t="shared" si="0"/>
        <v>#DIV/0!</v>
      </c>
      <c r="K33" s="8"/>
      <c r="L33" s="8"/>
      <c r="M33" s="15" t="e">
        <f t="shared" si="1"/>
        <v>#DIV/0!</v>
      </c>
      <c r="N33" s="8"/>
      <c r="O33" s="8"/>
      <c r="P33" s="15" t="e">
        <f t="shared" si="2"/>
        <v>#DIV/0!</v>
      </c>
      <c r="Q33" s="10"/>
      <c r="R33" s="201" t="e">
        <f t="shared" si="3"/>
        <v>#DIV/0!</v>
      </c>
      <c r="S33" s="202"/>
      <c r="T33" s="202"/>
      <c r="U33" s="203"/>
      <c r="V33" s="14" t="e">
        <f t="shared" si="4"/>
        <v>#DIV/0!</v>
      </c>
      <c r="W33" s="10"/>
      <c r="X33" s="10"/>
    </row>
    <row r="34" spans="1:24" ht="15.75" customHeight="1" x14ac:dyDescent="0.25">
      <c r="A34" s="6">
        <v>29</v>
      </c>
      <c r="B34" s="111" t="s">
        <v>544</v>
      </c>
      <c r="C34" s="8"/>
      <c r="D34" s="8"/>
      <c r="E34" s="8"/>
      <c r="F34" s="8"/>
      <c r="G34" s="8"/>
      <c r="H34" s="8"/>
      <c r="I34" s="8"/>
      <c r="J34" s="15" t="e">
        <f t="shared" si="0"/>
        <v>#DIV/0!</v>
      </c>
      <c r="K34" s="8"/>
      <c r="L34" s="8"/>
      <c r="M34" s="15" t="e">
        <f t="shared" si="1"/>
        <v>#DIV/0!</v>
      </c>
      <c r="N34" s="8"/>
      <c r="O34" s="8"/>
      <c r="P34" s="15" t="e">
        <f t="shared" si="2"/>
        <v>#DIV/0!</v>
      </c>
      <c r="Q34" s="10"/>
      <c r="R34" s="201" t="e">
        <f t="shared" si="3"/>
        <v>#DIV/0!</v>
      </c>
      <c r="S34" s="202"/>
      <c r="T34" s="202"/>
      <c r="U34" s="203"/>
      <c r="V34" s="14" t="e">
        <f t="shared" si="4"/>
        <v>#DIV/0!</v>
      </c>
      <c r="W34" s="10"/>
      <c r="X34" s="10"/>
    </row>
    <row r="35" spans="1:24" ht="15.75" customHeight="1" x14ac:dyDescent="0.25">
      <c r="A35" s="6">
        <v>30</v>
      </c>
      <c r="B35" s="111" t="s">
        <v>84</v>
      </c>
      <c r="C35" s="8"/>
      <c r="D35" s="8"/>
      <c r="E35" s="8"/>
      <c r="F35" s="8"/>
      <c r="G35" s="8"/>
      <c r="H35" s="8"/>
      <c r="I35" s="8"/>
      <c r="J35" s="15" t="e">
        <f t="shared" si="0"/>
        <v>#DIV/0!</v>
      </c>
      <c r="K35" s="8"/>
      <c r="L35" s="8"/>
      <c r="M35" s="15" t="e">
        <f t="shared" si="1"/>
        <v>#DIV/0!</v>
      </c>
      <c r="N35" s="8"/>
      <c r="O35" s="8"/>
      <c r="P35" s="15" t="e">
        <f t="shared" si="2"/>
        <v>#DIV/0!</v>
      </c>
      <c r="Q35" s="10"/>
      <c r="R35" s="201" t="e">
        <f t="shared" si="3"/>
        <v>#DIV/0!</v>
      </c>
      <c r="S35" s="202"/>
      <c r="T35" s="202"/>
      <c r="U35" s="203"/>
      <c r="V35" s="14" t="e">
        <f t="shared" si="4"/>
        <v>#DIV/0!</v>
      </c>
      <c r="W35" s="10"/>
      <c r="X35" s="10"/>
    </row>
    <row r="36" spans="1:24" ht="15.75" customHeight="1" x14ac:dyDescent="0.25">
      <c r="A36" s="6">
        <v>31</v>
      </c>
      <c r="B36" s="111" t="s">
        <v>86</v>
      </c>
      <c r="C36" s="8"/>
      <c r="D36" s="8"/>
      <c r="E36" s="8"/>
      <c r="F36" s="8"/>
      <c r="G36" s="8"/>
      <c r="H36" s="8"/>
      <c r="I36" s="8"/>
      <c r="J36" s="15" t="e">
        <f t="shared" si="0"/>
        <v>#DIV/0!</v>
      </c>
      <c r="K36" s="8"/>
      <c r="L36" s="8"/>
      <c r="M36" s="15" t="e">
        <f t="shared" si="1"/>
        <v>#DIV/0!</v>
      </c>
      <c r="N36" s="8"/>
      <c r="O36" s="8"/>
      <c r="P36" s="15" t="e">
        <f t="shared" si="2"/>
        <v>#DIV/0!</v>
      </c>
      <c r="Q36" s="10"/>
      <c r="R36" s="201" t="e">
        <f t="shared" si="3"/>
        <v>#DIV/0!</v>
      </c>
      <c r="S36" s="202"/>
      <c r="T36" s="202"/>
      <c r="U36" s="203"/>
      <c r="V36" s="14" t="e">
        <f t="shared" si="4"/>
        <v>#DIV/0!</v>
      </c>
      <c r="W36" s="10"/>
      <c r="X36" s="10"/>
    </row>
    <row r="37" spans="1:24" ht="15.75" customHeight="1" x14ac:dyDescent="0.25">
      <c r="A37" s="6">
        <v>32</v>
      </c>
      <c r="B37" s="111" t="s">
        <v>87</v>
      </c>
      <c r="C37" s="8"/>
      <c r="D37" s="8"/>
      <c r="E37" s="8"/>
      <c r="F37" s="8"/>
      <c r="G37" s="8"/>
      <c r="H37" s="8"/>
      <c r="I37" s="8"/>
      <c r="J37" s="15" t="e">
        <f t="shared" si="0"/>
        <v>#DIV/0!</v>
      </c>
      <c r="K37" s="8"/>
      <c r="L37" s="8"/>
      <c r="M37" s="15" t="e">
        <f t="shared" si="1"/>
        <v>#DIV/0!</v>
      </c>
      <c r="N37" s="8"/>
      <c r="O37" s="8"/>
      <c r="P37" s="15" t="e">
        <f t="shared" si="2"/>
        <v>#DIV/0!</v>
      </c>
      <c r="Q37" s="10"/>
      <c r="R37" s="201" t="e">
        <f t="shared" si="3"/>
        <v>#DIV/0!</v>
      </c>
      <c r="S37" s="202"/>
      <c r="T37" s="202"/>
      <c r="U37" s="203"/>
      <c r="V37" s="14" t="e">
        <f t="shared" si="4"/>
        <v>#DIV/0!</v>
      </c>
      <c r="W37" s="10"/>
      <c r="X37" s="10"/>
    </row>
    <row r="38" spans="1:24" ht="15.75" customHeight="1" x14ac:dyDescent="0.25">
      <c r="A38" s="6">
        <v>33</v>
      </c>
      <c r="B38" s="111" t="s">
        <v>542</v>
      </c>
      <c r="C38" s="8"/>
      <c r="D38" s="8"/>
      <c r="E38" s="8"/>
      <c r="F38" s="8"/>
      <c r="G38" s="8"/>
      <c r="H38" s="8"/>
      <c r="I38" s="8"/>
      <c r="J38" s="15" t="e">
        <f t="shared" si="0"/>
        <v>#DIV/0!</v>
      </c>
      <c r="K38" s="8"/>
      <c r="L38" s="8"/>
      <c r="M38" s="15" t="e">
        <f t="shared" si="1"/>
        <v>#DIV/0!</v>
      </c>
      <c r="N38" s="8"/>
      <c r="O38" s="8"/>
      <c r="P38" s="15" t="e">
        <f t="shared" si="2"/>
        <v>#DIV/0!</v>
      </c>
      <c r="Q38" s="10"/>
      <c r="R38" s="201" t="e">
        <f t="shared" si="3"/>
        <v>#DIV/0!</v>
      </c>
      <c r="S38" s="202"/>
      <c r="T38" s="202"/>
      <c r="U38" s="203"/>
      <c r="V38" s="14" t="e">
        <f t="shared" si="4"/>
        <v>#DIV/0!</v>
      </c>
      <c r="W38" s="10"/>
      <c r="X38" s="10"/>
    </row>
    <row r="39" spans="1:24" ht="15.75" customHeight="1" x14ac:dyDescent="0.25">
      <c r="A39" s="6">
        <v>34</v>
      </c>
      <c r="B39" s="111"/>
      <c r="C39" s="8"/>
      <c r="D39" s="8"/>
      <c r="E39" s="8"/>
      <c r="F39" s="8"/>
      <c r="G39" s="8"/>
      <c r="H39" s="8"/>
      <c r="I39" s="8"/>
      <c r="J39" s="15" t="e">
        <f t="shared" si="0"/>
        <v>#DIV/0!</v>
      </c>
      <c r="K39" s="8"/>
      <c r="L39" s="8"/>
      <c r="M39" s="15" t="e">
        <f t="shared" si="1"/>
        <v>#DIV/0!</v>
      </c>
      <c r="N39" s="8"/>
      <c r="O39" s="8"/>
      <c r="P39" s="15" t="e">
        <f t="shared" si="2"/>
        <v>#DIV/0!</v>
      </c>
      <c r="Q39" s="10"/>
      <c r="R39" s="201" t="e">
        <f t="shared" si="3"/>
        <v>#DIV/0!</v>
      </c>
      <c r="S39" s="202"/>
      <c r="T39" s="202"/>
      <c r="U39" s="203"/>
      <c r="V39" s="14" t="e">
        <f t="shared" si="4"/>
        <v>#DIV/0!</v>
      </c>
      <c r="W39" s="10"/>
      <c r="X39" s="10"/>
    </row>
    <row r="40" spans="1:24" ht="15.75" customHeight="1" x14ac:dyDescent="0.25">
      <c r="A40" s="6">
        <v>35</v>
      </c>
      <c r="B40" s="105" t="s">
        <v>61</v>
      </c>
      <c r="C40" s="8"/>
      <c r="D40" s="8"/>
      <c r="E40" s="8"/>
      <c r="F40" s="8"/>
      <c r="G40" s="8"/>
      <c r="H40" s="8"/>
      <c r="I40" s="8"/>
      <c r="J40" s="15" t="e">
        <f t="shared" si="0"/>
        <v>#DIV/0!</v>
      </c>
      <c r="K40" s="8"/>
      <c r="L40" s="8"/>
      <c r="M40" s="15" t="e">
        <f t="shared" si="1"/>
        <v>#DIV/0!</v>
      </c>
      <c r="N40" s="8"/>
      <c r="O40" s="8"/>
      <c r="P40" s="15" t="e">
        <f t="shared" si="2"/>
        <v>#DIV/0!</v>
      </c>
      <c r="Q40" s="10"/>
      <c r="R40" s="201" t="e">
        <f t="shared" si="3"/>
        <v>#DIV/0!</v>
      </c>
      <c r="S40" s="202"/>
      <c r="T40" s="202"/>
      <c r="U40" s="203"/>
      <c r="V40" s="14" t="e">
        <f t="shared" si="4"/>
        <v>#DIV/0!</v>
      </c>
      <c r="W40" s="10"/>
      <c r="X40" s="10"/>
    </row>
    <row r="41" spans="1:24" ht="15.75" customHeight="1" x14ac:dyDescent="0.25">
      <c r="A41" s="6">
        <v>36</v>
      </c>
      <c r="B41" s="105"/>
      <c r="C41" s="8"/>
      <c r="D41" s="8"/>
      <c r="E41" s="8"/>
      <c r="F41" s="8"/>
      <c r="G41" s="8"/>
      <c r="H41" s="8"/>
      <c r="I41" s="8"/>
      <c r="J41" s="15" t="e">
        <f t="shared" si="0"/>
        <v>#DIV/0!</v>
      </c>
      <c r="K41" s="8"/>
      <c r="L41" s="8"/>
      <c r="M41" s="15" t="e">
        <f t="shared" si="1"/>
        <v>#DIV/0!</v>
      </c>
      <c r="N41" s="8"/>
      <c r="O41" s="8"/>
      <c r="P41" s="15" t="e">
        <f t="shared" si="2"/>
        <v>#DIV/0!</v>
      </c>
      <c r="Q41" s="10"/>
      <c r="R41" s="201" t="e">
        <f t="shared" si="3"/>
        <v>#DIV/0!</v>
      </c>
      <c r="S41" s="202"/>
      <c r="T41" s="202"/>
      <c r="U41" s="203"/>
      <c r="V41" s="14" t="e">
        <f t="shared" si="4"/>
        <v>#DIV/0!</v>
      </c>
      <c r="W41" s="10"/>
      <c r="X41" s="10"/>
    </row>
    <row r="42" spans="1:24" ht="15.75" customHeight="1" x14ac:dyDescent="0.25">
      <c r="A42" s="6">
        <v>37</v>
      </c>
      <c r="B42" s="105"/>
      <c r="C42" s="8"/>
      <c r="D42" s="8"/>
      <c r="E42" s="8"/>
      <c r="F42" s="8"/>
      <c r="G42" s="8"/>
      <c r="H42" s="8"/>
      <c r="I42" s="8"/>
      <c r="J42" s="15" t="e">
        <f t="shared" si="0"/>
        <v>#DIV/0!</v>
      </c>
      <c r="K42" s="8"/>
      <c r="L42" s="8"/>
      <c r="M42" s="15" t="e">
        <f t="shared" si="1"/>
        <v>#DIV/0!</v>
      </c>
      <c r="N42" s="8"/>
      <c r="O42" s="8"/>
      <c r="P42" s="15" t="e">
        <f t="shared" si="2"/>
        <v>#DIV/0!</v>
      </c>
      <c r="Q42" s="10"/>
      <c r="R42" s="201" t="e">
        <f t="shared" si="3"/>
        <v>#DIV/0!</v>
      </c>
      <c r="S42" s="202"/>
      <c r="T42" s="202"/>
      <c r="U42" s="203"/>
      <c r="V42" s="14" t="e">
        <f t="shared" si="4"/>
        <v>#DIV/0!</v>
      </c>
      <c r="W42" s="10"/>
      <c r="X42" s="10"/>
    </row>
    <row r="43" spans="1:24" ht="15.75" customHeight="1" x14ac:dyDescent="0.25">
      <c r="A43" s="6">
        <v>38</v>
      </c>
      <c r="B43" s="105"/>
      <c r="C43" s="8"/>
      <c r="D43" s="8"/>
      <c r="E43" s="8"/>
      <c r="F43" s="8"/>
      <c r="G43" s="8"/>
      <c r="H43" s="8"/>
      <c r="I43" s="8"/>
      <c r="J43" s="15" t="e">
        <f t="shared" si="0"/>
        <v>#DIV/0!</v>
      </c>
      <c r="K43" s="8"/>
      <c r="L43" s="8"/>
      <c r="M43" s="15" t="e">
        <f t="shared" si="1"/>
        <v>#DIV/0!</v>
      </c>
      <c r="N43" s="8"/>
      <c r="O43" s="8"/>
      <c r="P43" s="15" t="e">
        <f t="shared" si="2"/>
        <v>#DIV/0!</v>
      </c>
      <c r="Q43" s="10"/>
      <c r="R43" s="201" t="e">
        <f t="shared" si="3"/>
        <v>#DIV/0!</v>
      </c>
      <c r="S43" s="202"/>
      <c r="T43" s="202"/>
      <c r="U43" s="203"/>
      <c r="V43" s="14" t="e">
        <f t="shared" si="4"/>
        <v>#DIV/0!</v>
      </c>
      <c r="W43" s="10"/>
      <c r="X43" s="10"/>
    </row>
    <row r="44" spans="1:24" ht="15.75" customHeight="1" x14ac:dyDescent="0.25">
      <c r="A44" s="6">
        <v>39</v>
      </c>
      <c r="B44" s="105" t="s">
        <v>61</v>
      </c>
      <c r="C44" s="8"/>
      <c r="D44" s="8"/>
      <c r="E44" s="8"/>
      <c r="F44" s="8"/>
      <c r="G44" s="8"/>
      <c r="H44" s="8"/>
      <c r="I44" s="8"/>
      <c r="J44" s="15" t="e">
        <f t="shared" si="0"/>
        <v>#DIV/0!</v>
      </c>
      <c r="K44" s="8"/>
      <c r="L44" s="8"/>
      <c r="M44" s="15" t="e">
        <f t="shared" si="1"/>
        <v>#DIV/0!</v>
      </c>
      <c r="N44" s="8"/>
      <c r="O44" s="8"/>
      <c r="P44" s="15" t="e">
        <f t="shared" si="2"/>
        <v>#DIV/0!</v>
      </c>
      <c r="Q44" s="10"/>
      <c r="R44" s="201" t="e">
        <f t="shared" si="3"/>
        <v>#DIV/0!</v>
      </c>
      <c r="S44" s="202"/>
      <c r="T44" s="202"/>
      <c r="U44" s="203"/>
      <c r="V44" s="14" t="e">
        <f t="shared" si="4"/>
        <v>#DIV/0!</v>
      </c>
      <c r="W44" s="10"/>
      <c r="X44" s="10"/>
    </row>
    <row r="45" spans="1:24" ht="15.75" customHeight="1" x14ac:dyDescent="0.25">
      <c r="A45" s="6">
        <v>40</v>
      </c>
      <c r="B45" s="105"/>
      <c r="C45" s="8"/>
      <c r="D45" s="8"/>
      <c r="E45" s="8"/>
      <c r="F45" s="8"/>
      <c r="G45" s="8"/>
      <c r="H45" s="8"/>
      <c r="I45" s="8"/>
      <c r="J45" s="15" t="e">
        <f t="shared" si="0"/>
        <v>#DIV/0!</v>
      </c>
      <c r="K45" s="8"/>
      <c r="L45" s="8"/>
      <c r="M45" s="15" t="e">
        <f t="shared" si="1"/>
        <v>#DIV/0!</v>
      </c>
      <c r="N45" s="8"/>
      <c r="O45" s="8"/>
      <c r="P45" s="15" t="e">
        <f t="shared" si="2"/>
        <v>#DIV/0!</v>
      </c>
      <c r="Q45" s="10"/>
      <c r="R45" s="201" t="e">
        <f t="shared" si="3"/>
        <v>#DIV/0!</v>
      </c>
      <c r="S45" s="202"/>
      <c r="T45" s="202"/>
      <c r="U45" s="203"/>
      <c r="V45" s="14" t="e">
        <f t="shared" si="4"/>
        <v>#DIV/0!</v>
      </c>
      <c r="W45" s="10"/>
      <c r="X45" s="10"/>
    </row>
    <row r="46" spans="1:24" ht="15.75" customHeight="1" x14ac:dyDescent="0.25">
      <c r="A46" s="6">
        <v>41</v>
      </c>
      <c r="B46" s="105"/>
      <c r="C46" s="8"/>
      <c r="D46" s="8"/>
      <c r="E46" s="8"/>
      <c r="F46" s="8"/>
      <c r="G46" s="8"/>
      <c r="H46" s="8"/>
      <c r="I46" s="8"/>
      <c r="J46" s="15" t="e">
        <f t="shared" si="0"/>
        <v>#DIV/0!</v>
      </c>
      <c r="K46" s="8"/>
      <c r="L46" s="8"/>
      <c r="M46" s="15" t="e">
        <f t="shared" si="1"/>
        <v>#DIV/0!</v>
      </c>
      <c r="N46" s="8"/>
      <c r="O46" s="8"/>
      <c r="P46" s="15" t="e">
        <f t="shared" si="2"/>
        <v>#DIV/0!</v>
      </c>
      <c r="Q46" s="10"/>
      <c r="R46" s="201" t="e">
        <f t="shared" si="3"/>
        <v>#DIV/0!</v>
      </c>
      <c r="S46" s="202"/>
      <c r="T46" s="202"/>
      <c r="U46" s="203"/>
      <c r="V46" s="14" t="e">
        <f t="shared" si="4"/>
        <v>#DIV/0!</v>
      </c>
      <c r="W46" s="10"/>
      <c r="X46" s="10"/>
    </row>
    <row r="47" spans="1:24" ht="15.75" customHeight="1" x14ac:dyDescent="0.25">
      <c r="A47" s="6">
        <v>42</v>
      </c>
      <c r="B47" s="105"/>
      <c r="C47" s="8"/>
      <c r="D47" s="8"/>
      <c r="E47" s="8"/>
      <c r="F47" s="8"/>
      <c r="G47" s="8"/>
      <c r="H47" s="8"/>
      <c r="I47" s="8"/>
      <c r="J47" s="15" t="e">
        <f t="shared" si="0"/>
        <v>#DIV/0!</v>
      </c>
      <c r="K47" s="8"/>
      <c r="L47" s="8"/>
      <c r="M47" s="15" t="e">
        <f t="shared" si="1"/>
        <v>#DIV/0!</v>
      </c>
      <c r="N47" s="8"/>
      <c r="O47" s="8"/>
      <c r="P47" s="15" t="e">
        <f t="shared" si="2"/>
        <v>#DIV/0!</v>
      </c>
      <c r="Q47" s="10"/>
      <c r="R47" s="201" t="e">
        <f t="shared" si="3"/>
        <v>#DIV/0!</v>
      </c>
      <c r="S47" s="202"/>
      <c r="T47" s="202"/>
      <c r="U47" s="203"/>
      <c r="V47" s="14" t="e">
        <f t="shared" si="4"/>
        <v>#DIV/0!</v>
      </c>
      <c r="W47" s="10"/>
      <c r="X47" s="10"/>
    </row>
    <row r="48" spans="1:24" ht="15.75" customHeight="1" x14ac:dyDescent="0.25">
      <c r="A48" s="6">
        <v>43</v>
      </c>
      <c r="B48" s="105"/>
      <c r="C48" s="8"/>
      <c r="D48" s="8"/>
      <c r="E48" s="8"/>
      <c r="F48" s="8"/>
      <c r="G48" s="8"/>
      <c r="H48" s="8"/>
      <c r="I48" s="8"/>
      <c r="J48" s="15" t="e">
        <f t="shared" si="0"/>
        <v>#DIV/0!</v>
      </c>
      <c r="K48" s="8"/>
      <c r="L48" s="8"/>
      <c r="M48" s="15" t="e">
        <f t="shared" si="1"/>
        <v>#DIV/0!</v>
      </c>
      <c r="N48" s="8"/>
      <c r="O48" s="8"/>
      <c r="P48" s="15" t="e">
        <f t="shared" si="2"/>
        <v>#DIV/0!</v>
      </c>
      <c r="Q48" s="10"/>
      <c r="R48" s="201" t="e">
        <f t="shared" si="3"/>
        <v>#DIV/0!</v>
      </c>
      <c r="S48" s="202"/>
      <c r="T48" s="202"/>
      <c r="U48" s="203"/>
      <c r="V48" s="14" t="e">
        <f t="shared" si="4"/>
        <v>#DIV/0!</v>
      </c>
      <c r="W48" s="10"/>
      <c r="X48" s="10"/>
    </row>
    <row r="49" spans="1:24" ht="15.75" customHeight="1" x14ac:dyDescent="0.25">
      <c r="A49" s="6">
        <v>44</v>
      </c>
      <c r="B49" s="105"/>
      <c r="C49" s="8"/>
      <c r="D49" s="8"/>
      <c r="E49" s="8"/>
      <c r="F49" s="8"/>
      <c r="G49" s="8"/>
      <c r="H49" s="8"/>
      <c r="I49" s="8"/>
      <c r="J49" s="15" t="e">
        <f t="shared" si="0"/>
        <v>#DIV/0!</v>
      </c>
      <c r="K49" s="8"/>
      <c r="L49" s="8"/>
      <c r="M49" s="15" t="e">
        <f t="shared" si="1"/>
        <v>#DIV/0!</v>
      </c>
      <c r="N49" s="8"/>
      <c r="O49" s="8"/>
      <c r="P49" s="15" t="e">
        <f t="shared" si="2"/>
        <v>#DIV/0!</v>
      </c>
      <c r="Q49" s="10"/>
      <c r="R49" s="201" t="e">
        <f t="shared" si="3"/>
        <v>#DIV/0!</v>
      </c>
      <c r="S49" s="202"/>
      <c r="T49" s="202"/>
      <c r="U49" s="203"/>
      <c r="V49" s="14" t="e">
        <f t="shared" si="4"/>
        <v>#DIV/0!</v>
      </c>
      <c r="W49" s="10"/>
      <c r="X49" s="10"/>
    </row>
    <row r="50" spans="1:24" ht="15.75" customHeight="1" x14ac:dyDescent="0.25">
      <c r="A50" s="6">
        <v>45</v>
      </c>
      <c r="B50" s="105"/>
      <c r="C50" s="8"/>
      <c r="D50" s="8"/>
      <c r="E50" s="8"/>
      <c r="F50" s="8"/>
      <c r="G50" s="8"/>
      <c r="H50" s="8"/>
      <c r="I50" s="8"/>
      <c r="J50" s="15" t="e">
        <f>((AVERAGE(C50:H50))*72%)+I50*8%</f>
        <v>#DIV/0!</v>
      </c>
      <c r="K50" s="8"/>
      <c r="L50" s="8"/>
      <c r="M50" s="15" t="e">
        <f t="shared" si="1"/>
        <v>#DIV/0!</v>
      </c>
      <c r="N50" s="8"/>
      <c r="O50" s="8"/>
      <c r="P50" s="15" t="e">
        <f t="shared" si="2"/>
        <v>#DIV/0!</v>
      </c>
      <c r="Q50" s="10"/>
      <c r="R50" s="201" t="e">
        <f t="shared" si="3"/>
        <v>#DIV/0!</v>
      </c>
      <c r="S50" s="202"/>
      <c r="T50" s="202"/>
      <c r="U50" s="203"/>
      <c r="V50" s="14" t="e">
        <f t="shared" si="4"/>
        <v>#DIV/0!</v>
      </c>
      <c r="W50" s="10"/>
      <c r="X50" s="10"/>
    </row>
    <row r="51" spans="1:24" ht="15.75" customHeight="1" thickBot="1" x14ac:dyDescent="0.3">
      <c r="A51" s="16">
        <v>46</v>
      </c>
      <c r="B51" s="106"/>
      <c r="C51" s="13"/>
      <c r="D51" s="13"/>
      <c r="E51" s="13"/>
      <c r="F51" s="13"/>
      <c r="G51" s="13"/>
      <c r="H51" s="13"/>
      <c r="I51" s="13"/>
      <c r="J51" s="15" t="e">
        <f>((AVERAGE(C51:H51))*72%)+I51*8%</f>
        <v>#DIV/0!</v>
      </c>
      <c r="K51" s="13"/>
      <c r="L51" s="13"/>
      <c r="M51" s="18" t="e">
        <f t="shared" si="1"/>
        <v>#DIV/0!</v>
      </c>
      <c r="N51" s="13"/>
      <c r="O51" s="13"/>
      <c r="P51" s="18" t="e">
        <f t="shared" si="2"/>
        <v>#DIV/0!</v>
      </c>
      <c r="Q51" s="19"/>
      <c r="R51" s="274" t="e">
        <f t="shared" si="3"/>
        <v>#DIV/0!</v>
      </c>
      <c r="S51" s="275"/>
      <c r="T51" s="275"/>
      <c r="U51" s="276"/>
      <c r="V51" s="20" t="e">
        <f t="shared" si="4"/>
        <v>#DIV/0!</v>
      </c>
      <c r="W51" s="10"/>
      <c r="X51" s="10"/>
    </row>
    <row r="52" spans="1:24" ht="15.75" customHeight="1" x14ac:dyDescent="0.25">
      <c r="A52" s="263"/>
      <c r="B52" s="301"/>
      <c r="C52" s="257"/>
      <c r="D52" s="257"/>
      <c r="E52" s="267"/>
      <c r="F52" s="270"/>
      <c r="G52" s="270"/>
      <c r="H52" s="270"/>
      <c r="I52" s="270"/>
      <c r="J52" s="272"/>
      <c r="K52" s="272"/>
      <c r="L52" s="257"/>
      <c r="M52" s="259"/>
      <c r="N52" s="259"/>
      <c r="O52" s="259"/>
      <c r="P52" s="259"/>
      <c r="Q52" s="261"/>
      <c r="R52" s="277"/>
      <c r="S52" s="278"/>
      <c r="T52" s="279"/>
      <c r="U52" s="283"/>
      <c r="V52" s="284"/>
      <c r="W52" s="255"/>
      <c r="X52" s="181"/>
    </row>
    <row r="53" spans="1:24" ht="15.75" customHeight="1" x14ac:dyDescent="0.25">
      <c r="A53" s="264"/>
      <c r="B53" s="302"/>
      <c r="C53" s="205"/>
      <c r="D53" s="205"/>
      <c r="E53" s="210"/>
      <c r="F53" s="211"/>
      <c r="G53" s="211"/>
      <c r="H53" s="211"/>
      <c r="I53" s="211"/>
      <c r="J53" s="204"/>
      <c r="K53" s="204"/>
      <c r="L53" s="205"/>
      <c r="M53" s="185"/>
      <c r="N53" s="185"/>
      <c r="O53" s="185"/>
      <c r="P53" s="185"/>
      <c r="Q53" s="187"/>
      <c r="R53" s="188"/>
      <c r="S53" s="189"/>
      <c r="T53" s="190"/>
      <c r="U53" s="194"/>
      <c r="V53" s="285"/>
      <c r="W53" s="255"/>
      <c r="X53" s="181"/>
    </row>
    <row r="54" spans="1:24" ht="15.75" customHeight="1" x14ac:dyDescent="0.25">
      <c r="A54" s="264"/>
      <c r="B54" s="303"/>
      <c r="C54" s="205"/>
      <c r="D54" s="205"/>
      <c r="E54" s="210"/>
      <c r="F54" s="211"/>
      <c r="G54" s="211"/>
      <c r="H54" s="211"/>
      <c r="I54" s="211"/>
      <c r="J54" s="204"/>
      <c r="K54" s="204"/>
      <c r="L54" s="205"/>
      <c r="M54" s="185"/>
      <c r="N54" s="185"/>
      <c r="O54" s="185"/>
      <c r="P54" s="185"/>
      <c r="Q54" s="187"/>
      <c r="R54" s="188"/>
      <c r="S54" s="189"/>
      <c r="T54" s="190"/>
      <c r="U54" s="194"/>
      <c r="V54" s="285"/>
      <c r="W54" s="255"/>
      <c r="X54" s="181"/>
    </row>
    <row r="55" spans="1:24" ht="60" customHeight="1" thickBot="1" x14ac:dyDescent="0.3">
      <c r="A55" s="265"/>
      <c r="B55" s="304"/>
      <c r="C55" s="258"/>
      <c r="D55" s="258"/>
      <c r="E55" s="268"/>
      <c r="F55" s="271"/>
      <c r="G55" s="271"/>
      <c r="H55" s="271"/>
      <c r="I55" s="271"/>
      <c r="J55" s="273"/>
      <c r="K55" s="273"/>
      <c r="L55" s="258"/>
      <c r="M55" s="260"/>
      <c r="N55" s="260"/>
      <c r="O55" s="260"/>
      <c r="P55" s="260"/>
      <c r="Q55" s="262"/>
      <c r="R55" s="280"/>
      <c r="S55" s="281"/>
      <c r="T55" s="282"/>
      <c r="U55" s="286"/>
      <c r="V55" s="287"/>
      <c r="W55" s="256"/>
      <c r="X55" s="182"/>
    </row>
    <row r="56" spans="1:24" ht="87.75" customHeight="1" thickBot="1" x14ac:dyDescent="0.3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5"/>
      <c r="Q56" s="216"/>
      <c r="R56" s="217"/>
      <c r="S56" s="217"/>
      <c r="T56" s="217"/>
      <c r="U56" s="217"/>
      <c r="V56" s="217"/>
      <c r="W56" s="217"/>
      <c r="X56" s="217"/>
    </row>
    <row r="57" spans="1:24" ht="15.75" thickBot="1" x14ac:dyDescent="0.3">
      <c r="A57" s="296" t="s">
        <v>18</v>
      </c>
      <c r="B57" s="297"/>
      <c r="C57" s="298" t="s">
        <v>931</v>
      </c>
      <c r="D57" s="299"/>
      <c r="E57" s="299"/>
      <c r="F57" s="299"/>
      <c r="G57" s="299"/>
      <c r="H57" s="299"/>
      <c r="I57" s="300"/>
      <c r="J57" s="223" t="s">
        <v>20</v>
      </c>
      <c r="K57" s="224"/>
      <c r="L57" s="224"/>
      <c r="M57" s="224"/>
      <c r="N57" s="225"/>
      <c r="O57" s="225"/>
      <c r="P57" s="225"/>
      <c r="Q57" s="226"/>
      <c r="R57" s="227" t="s">
        <v>24</v>
      </c>
      <c r="S57" s="228"/>
      <c r="T57" s="228"/>
      <c r="U57" s="228"/>
      <c r="V57" s="228"/>
      <c r="W57" s="228"/>
      <c r="X57" s="229"/>
    </row>
    <row r="58" spans="1:24" ht="20.25" customHeight="1" x14ac:dyDescent="0.25">
      <c r="A58" s="230" t="s">
        <v>0</v>
      </c>
      <c r="B58" s="293" t="s">
        <v>1</v>
      </c>
      <c r="C58" s="235" t="s">
        <v>12</v>
      </c>
      <c r="D58" s="235"/>
      <c r="E58" s="235"/>
      <c r="F58" s="235"/>
      <c r="G58" s="235"/>
      <c r="H58" s="235"/>
      <c r="I58" s="235"/>
      <c r="J58" s="235"/>
      <c r="K58" s="236" t="s">
        <v>13</v>
      </c>
      <c r="L58" s="237"/>
      <c r="M58" s="237"/>
      <c r="N58" s="240" t="s">
        <v>15</v>
      </c>
      <c r="O58" s="240"/>
      <c r="P58" s="240"/>
      <c r="Q58" s="241" t="s">
        <v>4</v>
      </c>
      <c r="R58" s="244" t="s">
        <v>11</v>
      </c>
      <c r="S58" s="244"/>
      <c r="T58" s="244"/>
      <c r="U58" s="244"/>
      <c r="V58" s="244"/>
      <c r="W58" s="246" t="s">
        <v>2</v>
      </c>
      <c r="X58" s="247"/>
    </row>
    <row r="59" spans="1:24" ht="15" customHeight="1" x14ac:dyDescent="0.25">
      <c r="A59" s="231"/>
      <c r="B59" s="294"/>
      <c r="C59" s="248" t="s">
        <v>6</v>
      </c>
      <c r="D59" s="248" t="s">
        <v>17</v>
      </c>
      <c r="E59" s="248" t="s">
        <v>5</v>
      </c>
      <c r="F59" s="250"/>
      <c r="G59" s="250"/>
      <c r="H59" s="250"/>
      <c r="I59" s="251" t="s">
        <v>16</v>
      </c>
      <c r="J59" s="253" t="s">
        <v>14</v>
      </c>
      <c r="K59" s="238"/>
      <c r="L59" s="239"/>
      <c r="M59" s="239"/>
      <c r="N59" s="240"/>
      <c r="O59" s="240"/>
      <c r="P59" s="240"/>
      <c r="Q59" s="242"/>
      <c r="R59" s="245"/>
      <c r="S59" s="245"/>
      <c r="T59" s="245"/>
      <c r="U59" s="245"/>
      <c r="V59" s="245"/>
      <c r="W59" s="187"/>
      <c r="X59" s="187"/>
    </row>
    <row r="60" spans="1:24" ht="45" customHeight="1" thickBot="1" x14ac:dyDescent="0.3">
      <c r="A60" s="232"/>
      <c r="B60" s="295"/>
      <c r="C60" s="249"/>
      <c r="D60" s="249"/>
      <c r="E60" s="249"/>
      <c r="F60" s="249"/>
      <c r="G60" s="249"/>
      <c r="H60" s="249"/>
      <c r="I60" s="252"/>
      <c r="J60" s="254"/>
      <c r="K60" s="2" t="s">
        <v>9</v>
      </c>
      <c r="L60" s="2" t="s">
        <v>10</v>
      </c>
      <c r="M60" s="21" t="s">
        <v>3</v>
      </c>
      <c r="N60" s="2" t="s">
        <v>9</v>
      </c>
      <c r="O60" s="2" t="s">
        <v>10</v>
      </c>
      <c r="P60" s="22" t="s">
        <v>3</v>
      </c>
      <c r="Q60" s="243"/>
      <c r="R60" s="198" t="s">
        <v>7</v>
      </c>
      <c r="S60" s="199"/>
      <c r="T60" s="199"/>
      <c r="U60" s="200"/>
      <c r="V60" s="23" t="s">
        <v>8</v>
      </c>
      <c r="W60" s="5">
        <v>1</v>
      </c>
      <c r="X60" s="5">
        <v>2</v>
      </c>
    </row>
    <row r="61" spans="1:24" x14ac:dyDescent="0.25">
      <c r="A61" s="6">
        <v>1</v>
      </c>
      <c r="B61" s="166" t="s">
        <v>124</v>
      </c>
      <c r="C61" s="8"/>
      <c r="D61" s="8"/>
      <c r="E61" s="8"/>
      <c r="F61" s="8"/>
      <c r="G61" s="8"/>
      <c r="H61" s="8"/>
      <c r="I61" s="9"/>
      <c r="J61" s="15" t="e">
        <f>((AVERAGE(C61:H61))*72%)+I61*8%</f>
        <v>#DIV/0!</v>
      </c>
      <c r="K61" s="8"/>
      <c r="L61" s="8"/>
      <c r="M61" s="15" t="e">
        <f>(AVERAGE(K61:L61))*10%</f>
        <v>#DIV/0!</v>
      </c>
      <c r="N61" s="9"/>
      <c r="O61" s="9"/>
      <c r="P61" s="15" t="e">
        <f>(AVERAGE(N61:O61))*10%</f>
        <v>#DIV/0!</v>
      </c>
      <c r="Q61" s="8"/>
      <c r="R61" s="201" t="e">
        <f>IF(V61&lt;65,"BAJO",IF(V61&lt;=79,"BASICO",IF(V61&lt;=89,"ALTO",IF(V61&lt;=100,"SUPERIOR"))))</f>
        <v>#DIV/0!</v>
      </c>
      <c r="S61" s="202"/>
      <c r="T61" s="202"/>
      <c r="U61" s="203"/>
      <c r="V61" s="14" t="e">
        <f>J61+M61+P61</f>
        <v>#DIV/0!</v>
      </c>
      <c r="W61" s="10"/>
      <c r="X61" s="10"/>
    </row>
    <row r="62" spans="1:24" x14ac:dyDescent="0.25">
      <c r="A62" s="6">
        <v>2</v>
      </c>
      <c r="B62" s="114" t="s">
        <v>62</v>
      </c>
      <c r="C62" s="8"/>
      <c r="D62" s="8"/>
      <c r="E62" s="8"/>
      <c r="F62" s="8"/>
      <c r="G62" s="8"/>
      <c r="H62" s="8"/>
      <c r="I62" s="9"/>
      <c r="J62" s="15" t="e">
        <f t="shared" ref="J62:J103" si="5">((AVERAGE(C62:H62))*72%)+I62*8%</f>
        <v>#DIV/0!</v>
      </c>
      <c r="K62" s="8"/>
      <c r="L62" s="8"/>
      <c r="M62" s="15" t="e">
        <f t="shared" ref="M62:M103" si="6">(AVERAGE(K62:L62))*10%</f>
        <v>#DIV/0!</v>
      </c>
      <c r="N62" s="8"/>
      <c r="O62" s="8"/>
      <c r="P62" s="15" t="e">
        <f t="shared" ref="P62:P103" si="7">(AVERAGE(N62:O62))*10%</f>
        <v>#DIV/0!</v>
      </c>
      <c r="Q62" s="11"/>
      <c r="R62" s="201" t="e">
        <f t="shared" ref="R62:R103" si="8">IF(V62&lt;65,"BAJO",IF(V62&lt;=79,"BASICO",IF(V62&lt;=89,"ALTO",IF(V62&lt;=100,"SUPERIOR"))))</f>
        <v>#DIV/0!</v>
      </c>
      <c r="S62" s="202"/>
      <c r="T62" s="202"/>
      <c r="U62" s="203"/>
      <c r="V62" s="14" t="e">
        <f t="shared" ref="V62:V103" si="9">J62+M62+P62</f>
        <v>#DIV/0!</v>
      </c>
      <c r="W62" s="10"/>
      <c r="X62" s="10"/>
    </row>
    <row r="63" spans="1:24" x14ac:dyDescent="0.25">
      <c r="A63" s="6">
        <v>3</v>
      </c>
      <c r="B63" s="111" t="s">
        <v>89</v>
      </c>
      <c r="C63" s="8"/>
      <c r="D63" s="8"/>
      <c r="E63" s="8"/>
      <c r="F63" s="8"/>
      <c r="G63" s="8"/>
      <c r="H63" s="8"/>
      <c r="I63" s="9"/>
      <c r="J63" s="15" t="e">
        <f t="shared" si="5"/>
        <v>#DIV/0!</v>
      </c>
      <c r="K63" s="8"/>
      <c r="L63" s="8"/>
      <c r="M63" s="15" t="e">
        <f t="shared" si="6"/>
        <v>#DIV/0!</v>
      </c>
      <c r="N63" s="8"/>
      <c r="O63" s="8"/>
      <c r="P63" s="15" t="e">
        <f t="shared" si="7"/>
        <v>#DIV/0!</v>
      </c>
      <c r="Q63" s="11"/>
      <c r="R63" s="201" t="e">
        <f t="shared" si="8"/>
        <v>#DIV/0!</v>
      </c>
      <c r="S63" s="202"/>
      <c r="T63" s="202"/>
      <c r="U63" s="203"/>
      <c r="V63" s="14" t="e">
        <f t="shared" si="9"/>
        <v>#DIV/0!</v>
      </c>
      <c r="W63" s="10"/>
      <c r="X63" s="10"/>
    </row>
    <row r="64" spans="1:24" x14ac:dyDescent="0.25">
      <c r="A64" s="6">
        <v>4</v>
      </c>
      <c r="B64" s="111" t="s">
        <v>108</v>
      </c>
      <c r="C64" s="8"/>
      <c r="D64" s="8"/>
      <c r="E64" s="8"/>
      <c r="F64" s="8"/>
      <c r="G64" s="8"/>
      <c r="H64" s="8"/>
      <c r="I64" s="8"/>
      <c r="J64" s="15" t="e">
        <f t="shared" si="5"/>
        <v>#DIV/0!</v>
      </c>
      <c r="K64" s="8"/>
      <c r="L64" s="8"/>
      <c r="M64" s="15" t="e">
        <f t="shared" si="6"/>
        <v>#DIV/0!</v>
      </c>
      <c r="N64" s="8"/>
      <c r="O64" s="8"/>
      <c r="P64" s="15" t="e">
        <f t="shared" si="7"/>
        <v>#DIV/0!</v>
      </c>
      <c r="Q64" s="11"/>
      <c r="R64" s="201" t="e">
        <f t="shared" si="8"/>
        <v>#DIV/0!</v>
      </c>
      <c r="S64" s="202"/>
      <c r="T64" s="202"/>
      <c r="U64" s="203"/>
      <c r="V64" s="14" t="e">
        <f t="shared" si="9"/>
        <v>#DIV/0!</v>
      </c>
      <c r="W64" s="10"/>
      <c r="X64" s="10"/>
    </row>
    <row r="65" spans="1:24" x14ac:dyDescent="0.25">
      <c r="A65" s="6">
        <v>5</v>
      </c>
      <c r="B65" s="111" t="s">
        <v>91</v>
      </c>
      <c r="C65" s="8"/>
      <c r="D65" s="8"/>
      <c r="E65" s="8"/>
      <c r="F65" s="8"/>
      <c r="G65" s="8"/>
      <c r="H65" s="8"/>
      <c r="I65" s="8"/>
      <c r="J65" s="15" t="e">
        <f t="shared" si="5"/>
        <v>#DIV/0!</v>
      </c>
      <c r="K65" s="8"/>
      <c r="L65" s="8"/>
      <c r="M65" s="15" t="e">
        <f t="shared" si="6"/>
        <v>#DIV/0!</v>
      </c>
      <c r="N65" s="8"/>
      <c r="O65" s="8"/>
      <c r="P65" s="15" t="e">
        <f t="shared" si="7"/>
        <v>#DIV/0!</v>
      </c>
      <c r="Q65" s="10"/>
      <c r="R65" s="201" t="e">
        <f t="shared" si="8"/>
        <v>#DIV/0!</v>
      </c>
      <c r="S65" s="202"/>
      <c r="T65" s="202"/>
      <c r="U65" s="203"/>
      <c r="V65" s="14" t="e">
        <f t="shared" si="9"/>
        <v>#DIV/0!</v>
      </c>
      <c r="W65" s="10"/>
      <c r="X65" s="10"/>
    </row>
    <row r="66" spans="1:24" x14ac:dyDescent="0.25">
      <c r="A66" s="6">
        <v>6</v>
      </c>
      <c r="B66" s="111" t="s">
        <v>92</v>
      </c>
      <c r="C66" s="8"/>
      <c r="D66" s="8"/>
      <c r="E66" s="8"/>
      <c r="F66" s="8"/>
      <c r="G66" s="8"/>
      <c r="H66" s="8"/>
      <c r="I66" s="8"/>
      <c r="J66" s="15" t="e">
        <f t="shared" si="5"/>
        <v>#DIV/0!</v>
      </c>
      <c r="K66" s="8"/>
      <c r="L66" s="8"/>
      <c r="M66" s="15" t="e">
        <f t="shared" si="6"/>
        <v>#DIV/0!</v>
      </c>
      <c r="N66" s="8"/>
      <c r="O66" s="8"/>
      <c r="P66" s="15" t="e">
        <f t="shared" si="7"/>
        <v>#DIV/0!</v>
      </c>
      <c r="Q66" s="10"/>
      <c r="R66" s="201" t="e">
        <f t="shared" si="8"/>
        <v>#DIV/0!</v>
      </c>
      <c r="S66" s="202"/>
      <c r="T66" s="202"/>
      <c r="U66" s="203"/>
      <c r="V66" s="14" t="e">
        <f t="shared" si="9"/>
        <v>#DIV/0!</v>
      </c>
      <c r="W66" s="10"/>
      <c r="X66" s="10"/>
    </row>
    <row r="67" spans="1:24" x14ac:dyDescent="0.25">
      <c r="A67" s="6">
        <v>7</v>
      </c>
      <c r="B67" s="111" t="s">
        <v>63</v>
      </c>
      <c r="C67" s="8"/>
      <c r="D67" s="8"/>
      <c r="E67" s="8"/>
      <c r="F67" s="8"/>
      <c r="G67" s="8"/>
      <c r="H67" s="8"/>
      <c r="I67" s="8"/>
      <c r="J67" s="15" t="e">
        <f t="shared" si="5"/>
        <v>#DIV/0!</v>
      </c>
      <c r="K67" s="8"/>
      <c r="L67" s="8"/>
      <c r="M67" s="15" t="e">
        <f t="shared" si="6"/>
        <v>#DIV/0!</v>
      </c>
      <c r="N67" s="8"/>
      <c r="O67" s="8"/>
      <c r="P67" s="15" t="e">
        <f t="shared" si="7"/>
        <v>#DIV/0!</v>
      </c>
      <c r="Q67" s="10"/>
      <c r="R67" s="201" t="e">
        <f t="shared" si="8"/>
        <v>#DIV/0!</v>
      </c>
      <c r="S67" s="202"/>
      <c r="T67" s="202"/>
      <c r="U67" s="203"/>
      <c r="V67" s="14" t="e">
        <f t="shared" si="9"/>
        <v>#DIV/0!</v>
      </c>
      <c r="W67" s="10"/>
      <c r="X67" s="10"/>
    </row>
    <row r="68" spans="1:24" x14ac:dyDescent="0.25">
      <c r="A68" s="6">
        <v>8</v>
      </c>
      <c r="B68" s="111" t="s">
        <v>42</v>
      </c>
      <c r="C68" s="8"/>
      <c r="D68" s="8"/>
      <c r="E68" s="8"/>
      <c r="F68" s="8"/>
      <c r="G68" s="8"/>
      <c r="H68" s="8"/>
      <c r="I68" s="8"/>
      <c r="J68" s="15" t="e">
        <f t="shared" si="5"/>
        <v>#DIV/0!</v>
      </c>
      <c r="K68" s="8"/>
      <c r="L68" s="8"/>
      <c r="M68" s="15" t="e">
        <f t="shared" si="6"/>
        <v>#DIV/0!</v>
      </c>
      <c r="N68" s="8"/>
      <c r="O68" s="8"/>
      <c r="P68" s="15" t="e">
        <f t="shared" si="7"/>
        <v>#DIV/0!</v>
      </c>
      <c r="Q68" s="10"/>
      <c r="R68" s="201" t="e">
        <f t="shared" si="8"/>
        <v>#DIV/0!</v>
      </c>
      <c r="S68" s="202"/>
      <c r="T68" s="202"/>
      <c r="U68" s="203"/>
      <c r="V68" s="14" t="e">
        <f t="shared" si="9"/>
        <v>#DIV/0!</v>
      </c>
      <c r="W68" s="10"/>
      <c r="X68" s="10"/>
    </row>
    <row r="69" spans="1:24" x14ac:dyDescent="0.25">
      <c r="A69" s="6">
        <v>9</v>
      </c>
      <c r="B69" s="111" t="s">
        <v>833</v>
      </c>
      <c r="C69" s="8"/>
      <c r="D69" s="8"/>
      <c r="E69" s="8"/>
      <c r="F69" s="8"/>
      <c r="G69" s="8"/>
      <c r="H69" s="8"/>
      <c r="I69" s="8"/>
      <c r="J69" s="15" t="e">
        <f t="shared" si="5"/>
        <v>#DIV/0!</v>
      </c>
      <c r="K69" s="8"/>
      <c r="L69" s="8"/>
      <c r="M69" s="15" t="e">
        <f t="shared" si="6"/>
        <v>#DIV/0!</v>
      </c>
      <c r="N69" s="8"/>
      <c r="O69" s="8"/>
      <c r="P69" s="15" t="e">
        <f t="shared" si="7"/>
        <v>#DIV/0!</v>
      </c>
      <c r="Q69" s="10"/>
      <c r="R69" s="201" t="e">
        <f t="shared" si="8"/>
        <v>#DIV/0!</v>
      </c>
      <c r="S69" s="202"/>
      <c r="T69" s="202"/>
      <c r="U69" s="203"/>
      <c r="V69" s="14" t="e">
        <f t="shared" si="9"/>
        <v>#DIV/0!</v>
      </c>
      <c r="W69" s="10"/>
      <c r="X69" s="10"/>
    </row>
    <row r="70" spans="1:24" x14ac:dyDescent="0.25">
      <c r="A70" s="6">
        <v>10</v>
      </c>
      <c r="B70" s="111" t="s">
        <v>127</v>
      </c>
      <c r="C70" s="8"/>
      <c r="D70" s="8"/>
      <c r="E70" s="8"/>
      <c r="F70" s="8"/>
      <c r="G70" s="8"/>
      <c r="H70" s="8"/>
      <c r="I70" s="8"/>
      <c r="J70" s="15" t="e">
        <f t="shared" si="5"/>
        <v>#DIV/0!</v>
      </c>
      <c r="K70" s="8"/>
      <c r="L70" s="8"/>
      <c r="M70" s="15" t="e">
        <f t="shared" si="6"/>
        <v>#DIV/0!</v>
      </c>
      <c r="N70" s="8"/>
      <c r="O70" s="8"/>
      <c r="P70" s="15" t="e">
        <f t="shared" si="7"/>
        <v>#DIV/0!</v>
      </c>
      <c r="Q70" s="10"/>
      <c r="R70" s="201" t="e">
        <f t="shared" si="8"/>
        <v>#DIV/0!</v>
      </c>
      <c r="S70" s="202"/>
      <c r="T70" s="202"/>
      <c r="U70" s="203"/>
      <c r="V70" s="14" t="e">
        <f t="shared" si="9"/>
        <v>#DIV/0!</v>
      </c>
      <c r="W70" s="10"/>
      <c r="X70" s="10"/>
    </row>
    <row r="71" spans="1:24" x14ac:dyDescent="0.25">
      <c r="A71" s="6">
        <v>11</v>
      </c>
      <c r="B71" s="111" t="s">
        <v>552</v>
      </c>
      <c r="C71" s="8"/>
      <c r="D71" s="8"/>
      <c r="E71" s="8"/>
      <c r="F71" s="8"/>
      <c r="G71" s="8"/>
      <c r="H71" s="8"/>
      <c r="I71" s="8"/>
      <c r="J71" s="15" t="e">
        <f t="shared" si="5"/>
        <v>#DIV/0!</v>
      </c>
      <c r="K71" s="8"/>
      <c r="L71" s="8"/>
      <c r="M71" s="15" t="e">
        <f t="shared" si="6"/>
        <v>#DIV/0!</v>
      </c>
      <c r="N71" s="8"/>
      <c r="O71" s="8"/>
      <c r="P71" s="15" t="e">
        <f t="shared" si="7"/>
        <v>#DIV/0!</v>
      </c>
      <c r="Q71" s="10"/>
      <c r="R71" s="201" t="e">
        <f t="shared" si="8"/>
        <v>#DIV/0!</v>
      </c>
      <c r="S71" s="202"/>
      <c r="T71" s="202"/>
      <c r="U71" s="203"/>
      <c r="V71" s="14" t="e">
        <f t="shared" si="9"/>
        <v>#DIV/0!</v>
      </c>
      <c r="W71" s="10"/>
      <c r="X71" s="10"/>
    </row>
    <row r="72" spans="1:24" x14ac:dyDescent="0.25">
      <c r="A72" s="6">
        <v>12</v>
      </c>
      <c r="B72" s="67" t="s">
        <v>895</v>
      </c>
      <c r="C72" s="8"/>
      <c r="D72" s="8"/>
      <c r="E72" s="8"/>
      <c r="F72" s="8"/>
      <c r="G72" s="8"/>
      <c r="H72" s="8"/>
      <c r="I72" s="8"/>
      <c r="J72" s="15" t="e">
        <f t="shared" si="5"/>
        <v>#DIV/0!</v>
      </c>
      <c r="K72" s="8"/>
      <c r="L72" s="8"/>
      <c r="M72" s="15" t="e">
        <f t="shared" si="6"/>
        <v>#DIV/0!</v>
      </c>
      <c r="N72" s="8"/>
      <c r="O72" s="8"/>
      <c r="P72" s="15" t="e">
        <f t="shared" si="7"/>
        <v>#DIV/0!</v>
      </c>
      <c r="Q72" s="10"/>
      <c r="R72" s="201" t="e">
        <f t="shared" si="8"/>
        <v>#DIV/0!</v>
      </c>
      <c r="S72" s="202"/>
      <c r="T72" s="202"/>
      <c r="U72" s="203"/>
      <c r="V72" s="14" t="e">
        <f t="shared" si="9"/>
        <v>#DIV/0!</v>
      </c>
      <c r="W72" s="10"/>
      <c r="X72" s="10"/>
    </row>
    <row r="73" spans="1:24" x14ac:dyDescent="0.25">
      <c r="A73" s="6">
        <v>13</v>
      </c>
      <c r="B73" s="67" t="s">
        <v>834</v>
      </c>
      <c r="C73" s="8"/>
      <c r="D73" s="8"/>
      <c r="E73" s="8"/>
      <c r="F73" s="8"/>
      <c r="G73" s="8"/>
      <c r="H73" s="8"/>
      <c r="I73" s="8"/>
      <c r="J73" s="15" t="e">
        <f t="shared" si="5"/>
        <v>#DIV/0!</v>
      </c>
      <c r="K73" s="8"/>
      <c r="L73" s="8"/>
      <c r="M73" s="15" t="e">
        <f t="shared" si="6"/>
        <v>#DIV/0!</v>
      </c>
      <c r="N73" s="8"/>
      <c r="O73" s="8"/>
      <c r="P73" s="15" t="e">
        <f t="shared" si="7"/>
        <v>#DIV/0!</v>
      </c>
      <c r="Q73" s="10"/>
      <c r="R73" s="201" t="e">
        <f t="shared" si="8"/>
        <v>#DIV/0!</v>
      </c>
      <c r="S73" s="202"/>
      <c r="T73" s="202"/>
      <c r="U73" s="203"/>
      <c r="V73" s="14" t="e">
        <f t="shared" si="9"/>
        <v>#DIV/0!</v>
      </c>
      <c r="W73" s="10"/>
      <c r="X73" s="10"/>
    </row>
    <row r="74" spans="1:24" x14ac:dyDescent="0.25">
      <c r="A74" s="6">
        <v>14</v>
      </c>
      <c r="B74" s="111" t="s">
        <v>72</v>
      </c>
      <c r="C74" s="8"/>
      <c r="D74" s="8"/>
      <c r="E74" s="8"/>
      <c r="F74" s="8"/>
      <c r="G74" s="8"/>
      <c r="H74" s="8"/>
      <c r="I74" s="8"/>
      <c r="J74" s="15" t="e">
        <f t="shared" si="5"/>
        <v>#DIV/0!</v>
      </c>
      <c r="K74" s="8"/>
      <c r="L74" s="8"/>
      <c r="M74" s="15" t="e">
        <f t="shared" si="6"/>
        <v>#DIV/0!</v>
      </c>
      <c r="N74" s="8"/>
      <c r="O74" s="8"/>
      <c r="P74" s="15" t="e">
        <f t="shared" si="7"/>
        <v>#DIV/0!</v>
      </c>
      <c r="Q74" s="10"/>
      <c r="R74" s="201" t="e">
        <f t="shared" si="8"/>
        <v>#DIV/0!</v>
      </c>
      <c r="S74" s="202"/>
      <c r="T74" s="202"/>
      <c r="U74" s="203"/>
      <c r="V74" s="14" t="e">
        <f t="shared" si="9"/>
        <v>#DIV/0!</v>
      </c>
      <c r="W74" s="10"/>
      <c r="X74" s="10"/>
    </row>
    <row r="75" spans="1:24" x14ac:dyDescent="0.25">
      <c r="A75" s="6">
        <v>15</v>
      </c>
      <c r="B75" s="111" t="s">
        <v>98</v>
      </c>
      <c r="C75" s="8"/>
      <c r="D75" s="8"/>
      <c r="E75" s="8"/>
      <c r="F75" s="8"/>
      <c r="G75" s="8"/>
      <c r="H75" s="8"/>
      <c r="I75" s="8"/>
      <c r="J75" s="15" t="e">
        <f t="shared" si="5"/>
        <v>#DIV/0!</v>
      </c>
      <c r="K75" s="8"/>
      <c r="L75" s="8"/>
      <c r="M75" s="15" t="e">
        <f t="shared" si="6"/>
        <v>#DIV/0!</v>
      </c>
      <c r="N75" s="8"/>
      <c r="O75" s="8"/>
      <c r="P75" s="15" t="e">
        <f t="shared" si="7"/>
        <v>#DIV/0!</v>
      </c>
      <c r="Q75" s="10"/>
      <c r="R75" s="201" t="e">
        <f t="shared" si="8"/>
        <v>#DIV/0!</v>
      </c>
      <c r="S75" s="202"/>
      <c r="T75" s="202"/>
      <c r="U75" s="203"/>
      <c r="V75" s="14" t="e">
        <f t="shared" si="9"/>
        <v>#DIV/0!</v>
      </c>
      <c r="W75" s="10"/>
      <c r="X75" s="10"/>
    </row>
    <row r="76" spans="1:24" ht="15.75" customHeight="1" x14ac:dyDescent="0.25">
      <c r="A76" s="6">
        <v>16</v>
      </c>
      <c r="B76" s="111" t="s">
        <v>76</v>
      </c>
      <c r="C76" s="8"/>
      <c r="D76" s="8"/>
      <c r="E76" s="8"/>
      <c r="F76" s="8"/>
      <c r="G76" s="8"/>
      <c r="H76" s="8"/>
      <c r="I76" s="8"/>
      <c r="J76" s="15" t="e">
        <f t="shared" si="5"/>
        <v>#DIV/0!</v>
      </c>
      <c r="K76" s="8"/>
      <c r="L76" s="8"/>
      <c r="M76" s="15" t="e">
        <f t="shared" si="6"/>
        <v>#DIV/0!</v>
      </c>
      <c r="N76" s="8"/>
      <c r="O76" s="8"/>
      <c r="P76" s="15" t="e">
        <f t="shared" si="7"/>
        <v>#DIV/0!</v>
      </c>
      <c r="Q76" s="10"/>
      <c r="R76" s="201" t="e">
        <f t="shared" si="8"/>
        <v>#DIV/0!</v>
      </c>
      <c r="S76" s="202"/>
      <c r="T76" s="202"/>
      <c r="U76" s="203"/>
      <c r="V76" s="14" t="e">
        <f t="shared" si="9"/>
        <v>#DIV/0!</v>
      </c>
      <c r="W76" s="10"/>
      <c r="X76" s="10"/>
    </row>
    <row r="77" spans="1:24" ht="15.75" customHeight="1" x14ac:dyDescent="0.25">
      <c r="A77" s="6">
        <v>17</v>
      </c>
      <c r="B77" s="111" t="s">
        <v>835</v>
      </c>
      <c r="C77" s="8"/>
      <c r="D77" s="8"/>
      <c r="E77" s="8"/>
      <c r="F77" s="8"/>
      <c r="G77" s="8"/>
      <c r="H77" s="8"/>
      <c r="I77" s="13"/>
      <c r="J77" s="15" t="e">
        <f t="shared" si="5"/>
        <v>#DIV/0!</v>
      </c>
      <c r="K77" s="8"/>
      <c r="L77" s="8"/>
      <c r="M77" s="15" t="e">
        <f t="shared" si="6"/>
        <v>#DIV/0!</v>
      </c>
      <c r="N77" s="8"/>
      <c r="O77" s="8"/>
      <c r="P77" s="15" t="e">
        <f t="shared" si="7"/>
        <v>#DIV/0!</v>
      </c>
      <c r="Q77" s="10"/>
      <c r="R77" s="201" t="e">
        <f t="shared" si="8"/>
        <v>#DIV/0!</v>
      </c>
      <c r="S77" s="202"/>
      <c r="T77" s="202"/>
      <c r="U77" s="203"/>
      <c r="V77" s="14" t="e">
        <f t="shared" si="9"/>
        <v>#DIV/0!</v>
      </c>
      <c r="W77" s="10"/>
      <c r="X77" s="10"/>
    </row>
    <row r="78" spans="1:24" ht="15.75" customHeight="1" x14ac:dyDescent="0.25">
      <c r="A78" s="6">
        <v>18</v>
      </c>
      <c r="B78" s="111" t="s">
        <v>115</v>
      </c>
      <c r="C78" s="8"/>
      <c r="D78" s="8"/>
      <c r="E78" s="8"/>
      <c r="F78" s="8"/>
      <c r="G78" s="8"/>
      <c r="H78" s="8"/>
      <c r="I78" s="8"/>
      <c r="J78" s="15" t="e">
        <f t="shared" si="5"/>
        <v>#DIV/0!</v>
      </c>
      <c r="K78" s="8"/>
      <c r="L78" s="8"/>
      <c r="M78" s="15" t="e">
        <f t="shared" si="6"/>
        <v>#DIV/0!</v>
      </c>
      <c r="N78" s="8"/>
      <c r="O78" s="8"/>
      <c r="P78" s="15" t="e">
        <f t="shared" si="7"/>
        <v>#DIV/0!</v>
      </c>
      <c r="Q78" s="10"/>
      <c r="R78" s="201" t="e">
        <f t="shared" si="8"/>
        <v>#DIV/0!</v>
      </c>
      <c r="S78" s="202"/>
      <c r="T78" s="202"/>
      <c r="U78" s="203"/>
      <c r="V78" s="14" t="e">
        <f t="shared" si="9"/>
        <v>#DIV/0!</v>
      </c>
      <c r="W78" s="10"/>
      <c r="X78" s="10"/>
    </row>
    <row r="79" spans="1:24" ht="15.75" customHeight="1" x14ac:dyDescent="0.25">
      <c r="A79" s="6">
        <v>19</v>
      </c>
      <c r="B79" s="111" t="s">
        <v>133</v>
      </c>
      <c r="C79" s="8"/>
      <c r="D79" s="8"/>
      <c r="E79" s="8"/>
      <c r="F79" s="8"/>
      <c r="G79" s="8"/>
      <c r="H79" s="8"/>
      <c r="I79" s="8"/>
      <c r="J79" s="15" t="e">
        <f t="shared" si="5"/>
        <v>#DIV/0!</v>
      </c>
      <c r="K79" s="8"/>
      <c r="L79" s="8"/>
      <c r="M79" s="15" t="e">
        <f t="shared" si="6"/>
        <v>#DIV/0!</v>
      </c>
      <c r="N79" s="8"/>
      <c r="O79" s="8"/>
      <c r="P79" s="15" t="e">
        <f t="shared" si="7"/>
        <v>#DIV/0!</v>
      </c>
      <c r="Q79" s="10"/>
      <c r="R79" s="201" t="e">
        <f t="shared" si="8"/>
        <v>#DIV/0!</v>
      </c>
      <c r="S79" s="202"/>
      <c r="T79" s="202"/>
      <c r="U79" s="203"/>
      <c r="V79" s="14" t="e">
        <f t="shared" si="9"/>
        <v>#DIV/0!</v>
      </c>
      <c r="W79" s="10"/>
      <c r="X79" s="10"/>
    </row>
    <row r="80" spans="1:24" ht="15.75" customHeight="1" x14ac:dyDescent="0.25">
      <c r="A80" s="6">
        <v>20</v>
      </c>
      <c r="B80" s="111" t="s">
        <v>836</v>
      </c>
      <c r="C80" s="8"/>
      <c r="D80" s="8"/>
      <c r="E80" s="8"/>
      <c r="F80" s="8"/>
      <c r="G80" s="8"/>
      <c r="H80" s="8"/>
      <c r="I80" s="8"/>
      <c r="J80" s="15" t="e">
        <f t="shared" si="5"/>
        <v>#DIV/0!</v>
      </c>
      <c r="K80" s="8"/>
      <c r="L80" s="8"/>
      <c r="M80" s="15" t="e">
        <f t="shared" si="6"/>
        <v>#DIV/0!</v>
      </c>
      <c r="N80" s="8"/>
      <c r="O80" s="8"/>
      <c r="P80" s="15" t="e">
        <f t="shared" si="7"/>
        <v>#DIV/0!</v>
      </c>
      <c r="Q80" s="10"/>
      <c r="R80" s="201" t="e">
        <f t="shared" si="8"/>
        <v>#DIV/0!</v>
      </c>
      <c r="S80" s="202"/>
      <c r="T80" s="202"/>
      <c r="U80" s="203"/>
      <c r="V80" s="14" t="e">
        <f t="shared" si="9"/>
        <v>#DIV/0!</v>
      </c>
      <c r="W80" s="10"/>
      <c r="X80" s="10"/>
    </row>
    <row r="81" spans="1:24" ht="15.75" customHeight="1" x14ac:dyDescent="0.25">
      <c r="A81" s="6">
        <v>21</v>
      </c>
      <c r="B81" s="111" t="s">
        <v>101</v>
      </c>
      <c r="C81" s="8"/>
      <c r="D81" s="8"/>
      <c r="E81" s="8"/>
      <c r="F81" s="8"/>
      <c r="G81" s="8"/>
      <c r="H81" s="8"/>
      <c r="I81" s="8"/>
      <c r="J81" s="15" t="e">
        <f t="shared" si="5"/>
        <v>#DIV/0!</v>
      </c>
      <c r="K81" s="8"/>
      <c r="L81" s="8"/>
      <c r="M81" s="15" t="e">
        <f t="shared" si="6"/>
        <v>#DIV/0!</v>
      </c>
      <c r="N81" s="8"/>
      <c r="O81" s="8"/>
      <c r="P81" s="15" t="e">
        <f t="shared" si="7"/>
        <v>#DIV/0!</v>
      </c>
      <c r="Q81" s="10"/>
      <c r="R81" s="201" t="e">
        <f t="shared" si="8"/>
        <v>#DIV/0!</v>
      </c>
      <c r="S81" s="202"/>
      <c r="T81" s="202"/>
      <c r="U81" s="203"/>
      <c r="V81" s="14" t="e">
        <f t="shared" si="9"/>
        <v>#DIV/0!</v>
      </c>
      <c r="W81" s="10"/>
      <c r="X81" s="10"/>
    </row>
    <row r="82" spans="1:24" ht="15.75" customHeight="1" x14ac:dyDescent="0.25">
      <c r="A82" s="6">
        <v>22</v>
      </c>
      <c r="B82" s="111" t="s">
        <v>57</v>
      </c>
      <c r="C82" s="8"/>
      <c r="D82" s="8"/>
      <c r="E82" s="8"/>
      <c r="F82" s="8"/>
      <c r="G82" s="8"/>
      <c r="H82" s="8"/>
      <c r="I82" s="8"/>
      <c r="J82" s="15" t="e">
        <f t="shared" si="5"/>
        <v>#DIV/0!</v>
      </c>
      <c r="K82" s="8"/>
      <c r="L82" s="8"/>
      <c r="M82" s="15" t="e">
        <f t="shared" si="6"/>
        <v>#DIV/0!</v>
      </c>
      <c r="N82" s="8"/>
      <c r="O82" s="8"/>
      <c r="P82" s="15" t="e">
        <f t="shared" si="7"/>
        <v>#DIV/0!</v>
      </c>
      <c r="Q82" s="10"/>
      <c r="R82" s="201" t="e">
        <f t="shared" si="8"/>
        <v>#DIV/0!</v>
      </c>
      <c r="S82" s="202"/>
      <c r="T82" s="202"/>
      <c r="U82" s="203"/>
      <c r="V82" s="14" t="e">
        <f t="shared" si="9"/>
        <v>#DIV/0!</v>
      </c>
      <c r="W82" s="10"/>
      <c r="X82" s="10"/>
    </row>
    <row r="83" spans="1:24" ht="15.75" customHeight="1" x14ac:dyDescent="0.25">
      <c r="A83" s="6">
        <v>23</v>
      </c>
      <c r="B83" s="111" t="s">
        <v>103</v>
      </c>
      <c r="C83" s="8"/>
      <c r="D83" s="8"/>
      <c r="E83" s="8"/>
      <c r="F83" s="8"/>
      <c r="G83" s="8"/>
      <c r="H83" s="8"/>
      <c r="I83" s="8"/>
      <c r="J83" s="15" t="e">
        <f t="shared" si="5"/>
        <v>#DIV/0!</v>
      </c>
      <c r="K83" s="8"/>
      <c r="L83" s="8"/>
      <c r="M83" s="15" t="e">
        <f t="shared" si="6"/>
        <v>#DIV/0!</v>
      </c>
      <c r="N83" s="8"/>
      <c r="O83" s="8"/>
      <c r="P83" s="15" t="e">
        <f t="shared" si="7"/>
        <v>#DIV/0!</v>
      </c>
      <c r="Q83" s="10"/>
      <c r="R83" s="201" t="e">
        <f t="shared" si="8"/>
        <v>#DIV/0!</v>
      </c>
      <c r="S83" s="202"/>
      <c r="T83" s="202"/>
      <c r="U83" s="203"/>
      <c r="V83" s="14" t="e">
        <f t="shared" si="9"/>
        <v>#DIV/0!</v>
      </c>
      <c r="W83" s="10"/>
      <c r="X83" s="10"/>
    </row>
    <row r="84" spans="1:24" ht="15.75" customHeight="1" x14ac:dyDescent="0.25">
      <c r="A84" s="6">
        <v>24</v>
      </c>
      <c r="B84" s="111" t="s">
        <v>139</v>
      </c>
      <c r="C84" s="8"/>
      <c r="D84" s="8"/>
      <c r="E84" s="8"/>
      <c r="F84" s="8"/>
      <c r="G84" s="8"/>
      <c r="H84" s="8"/>
      <c r="I84" s="8"/>
      <c r="J84" s="15" t="e">
        <f t="shared" si="5"/>
        <v>#DIV/0!</v>
      </c>
      <c r="K84" s="8"/>
      <c r="L84" s="8"/>
      <c r="M84" s="15" t="e">
        <f t="shared" si="6"/>
        <v>#DIV/0!</v>
      </c>
      <c r="N84" s="8"/>
      <c r="O84" s="8"/>
      <c r="P84" s="15" t="e">
        <f t="shared" si="7"/>
        <v>#DIV/0!</v>
      </c>
      <c r="Q84" s="10"/>
      <c r="R84" s="201" t="e">
        <f t="shared" si="8"/>
        <v>#DIV/0!</v>
      </c>
      <c r="S84" s="202"/>
      <c r="T84" s="202"/>
      <c r="U84" s="203"/>
      <c r="V84" s="14" t="e">
        <f t="shared" si="9"/>
        <v>#DIV/0!</v>
      </c>
      <c r="W84" s="10"/>
      <c r="X84" s="10"/>
    </row>
    <row r="85" spans="1:24" ht="15.75" customHeight="1" x14ac:dyDescent="0.25">
      <c r="A85" s="6">
        <v>25</v>
      </c>
      <c r="B85" s="111" t="s">
        <v>140</v>
      </c>
      <c r="C85" s="8"/>
      <c r="D85" s="8"/>
      <c r="E85" s="8"/>
      <c r="F85" s="8"/>
      <c r="G85" s="8"/>
      <c r="H85" s="8"/>
      <c r="I85" s="8"/>
      <c r="J85" s="15" t="e">
        <f t="shared" si="5"/>
        <v>#DIV/0!</v>
      </c>
      <c r="K85" s="8"/>
      <c r="L85" s="8"/>
      <c r="M85" s="15" t="e">
        <f t="shared" si="6"/>
        <v>#DIV/0!</v>
      </c>
      <c r="N85" s="8"/>
      <c r="O85" s="8"/>
      <c r="P85" s="15" t="e">
        <f t="shared" si="7"/>
        <v>#DIV/0!</v>
      </c>
      <c r="Q85" s="10"/>
      <c r="R85" s="201" t="e">
        <f t="shared" si="8"/>
        <v>#DIV/0!</v>
      </c>
      <c r="S85" s="202"/>
      <c r="T85" s="202"/>
      <c r="U85" s="203"/>
      <c r="V85" s="14" t="e">
        <f t="shared" si="9"/>
        <v>#DIV/0!</v>
      </c>
      <c r="W85" s="10"/>
      <c r="X85" s="10"/>
    </row>
    <row r="86" spans="1:24" ht="15.75" customHeight="1" x14ac:dyDescent="0.25">
      <c r="A86" s="6">
        <v>26</v>
      </c>
      <c r="B86" s="111" t="s">
        <v>837</v>
      </c>
      <c r="C86" s="8"/>
      <c r="D86" s="8"/>
      <c r="E86" s="8"/>
      <c r="F86" s="8"/>
      <c r="G86" s="8"/>
      <c r="H86" s="8"/>
      <c r="I86" s="8"/>
      <c r="J86" s="15" t="e">
        <f t="shared" si="5"/>
        <v>#DIV/0!</v>
      </c>
      <c r="K86" s="8"/>
      <c r="L86" s="8"/>
      <c r="M86" s="15" t="e">
        <f t="shared" si="6"/>
        <v>#DIV/0!</v>
      </c>
      <c r="N86" s="8"/>
      <c r="O86" s="8"/>
      <c r="P86" s="15" t="e">
        <f t="shared" si="7"/>
        <v>#DIV/0!</v>
      </c>
      <c r="Q86" s="10"/>
      <c r="R86" s="201" t="e">
        <f t="shared" si="8"/>
        <v>#DIV/0!</v>
      </c>
      <c r="S86" s="202"/>
      <c r="T86" s="202"/>
      <c r="U86" s="203"/>
      <c r="V86" s="14" t="e">
        <f t="shared" si="9"/>
        <v>#DIV/0!</v>
      </c>
      <c r="W86" s="10"/>
      <c r="X86" s="10"/>
    </row>
    <row r="87" spans="1:24" ht="15.75" customHeight="1" x14ac:dyDescent="0.25">
      <c r="A87" s="6">
        <v>27</v>
      </c>
      <c r="B87" s="111" t="s">
        <v>117</v>
      </c>
      <c r="C87" s="8"/>
      <c r="D87" s="8"/>
      <c r="E87" s="8"/>
      <c r="F87" s="8"/>
      <c r="G87" s="8"/>
      <c r="H87" s="8"/>
      <c r="I87" s="8"/>
      <c r="J87" s="15" t="e">
        <f t="shared" si="5"/>
        <v>#DIV/0!</v>
      </c>
      <c r="K87" s="8"/>
      <c r="L87" s="8"/>
      <c r="M87" s="15" t="e">
        <f t="shared" si="6"/>
        <v>#DIV/0!</v>
      </c>
      <c r="N87" s="8"/>
      <c r="O87" s="8"/>
      <c r="P87" s="15" t="e">
        <f t="shared" si="7"/>
        <v>#DIV/0!</v>
      </c>
      <c r="Q87" s="10"/>
      <c r="R87" s="201" t="e">
        <f t="shared" si="8"/>
        <v>#DIV/0!</v>
      </c>
      <c r="S87" s="202"/>
      <c r="T87" s="202"/>
      <c r="U87" s="203"/>
      <c r="V87" s="14" t="e">
        <f t="shared" si="9"/>
        <v>#DIV/0!</v>
      </c>
      <c r="W87" s="10"/>
      <c r="X87" s="10"/>
    </row>
    <row r="88" spans="1:24" ht="15.75" customHeight="1" x14ac:dyDescent="0.25">
      <c r="A88" s="6">
        <v>28</v>
      </c>
      <c r="B88" s="111" t="s">
        <v>118</v>
      </c>
      <c r="C88" s="8"/>
      <c r="D88" s="8"/>
      <c r="E88" s="8"/>
      <c r="F88" s="8"/>
      <c r="G88" s="8"/>
      <c r="H88" s="8"/>
      <c r="I88" s="8"/>
      <c r="J88" s="15" t="e">
        <f t="shared" si="5"/>
        <v>#DIV/0!</v>
      </c>
      <c r="K88" s="8"/>
      <c r="L88" s="8"/>
      <c r="M88" s="15" t="e">
        <f t="shared" si="6"/>
        <v>#DIV/0!</v>
      </c>
      <c r="N88" s="8"/>
      <c r="O88" s="8"/>
      <c r="P88" s="15" t="e">
        <f t="shared" si="7"/>
        <v>#DIV/0!</v>
      </c>
      <c r="Q88" s="10"/>
      <c r="R88" s="201" t="e">
        <f t="shared" si="8"/>
        <v>#DIV/0!</v>
      </c>
      <c r="S88" s="202"/>
      <c r="T88" s="202"/>
      <c r="U88" s="203"/>
      <c r="V88" s="14" t="e">
        <f t="shared" si="9"/>
        <v>#DIV/0!</v>
      </c>
      <c r="W88" s="10"/>
      <c r="X88" s="10"/>
    </row>
    <row r="89" spans="1:24" ht="15.75" customHeight="1" x14ac:dyDescent="0.25">
      <c r="A89" s="6">
        <v>29</v>
      </c>
      <c r="B89" s="111" t="s">
        <v>838</v>
      </c>
      <c r="C89" s="8"/>
      <c r="D89" s="8"/>
      <c r="E89" s="8"/>
      <c r="F89" s="8"/>
      <c r="G89" s="8"/>
      <c r="H89" s="8"/>
      <c r="I89" s="8"/>
      <c r="J89" s="15" t="e">
        <f t="shared" si="5"/>
        <v>#DIV/0!</v>
      </c>
      <c r="K89" s="8"/>
      <c r="L89" s="8"/>
      <c r="M89" s="15" t="e">
        <f t="shared" si="6"/>
        <v>#DIV/0!</v>
      </c>
      <c r="N89" s="8"/>
      <c r="O89" s="8"/>
      <c r="P89" s="15" t="e">
        <f t="shared" si="7"/>
        <v>#DIV/0!</v>
      </c>
      <c r="Q89" s="10"/>
      <c r="R89" s="201" t="e">
        <f t="shared" si="8"/>
        <v>#DIV/0!</v>
      </c>
      <c r="S89" s="202"/>
      <c r="T89" s="202"/>
      <c r="U89" s="203"/>
      <c r="V89" s="14" t="e">
        <f t="shared" si="9"/>
        <v>#DIV/0!</v>
      </c>
      <c r="W89" s="10"/>
      <c r="X89" s="10"/>
    </row>
    <row r="90" spans="1:24" ht="15.75" customHeight="1" x14ac:dyDescent="0.25">
      <c r="A90" s="6">
        <v>30</v>
      </c>
      <c r="B90" s="115" t="s">
        <v>119</v>
      </c>
      <c r="C90" s="8"/>
      <c r="D90" s="8"/>
      <c r="E90" s="8"/>
      <c r="F90" s="8"/>
      <c r="G90" s="8"/>
      <c r="H90" s="8"/>
      <c r="I90" s="8"/>
      <c r="J90" s="15" t="e">
        <f t="shared" si="5"/>
        <v>#DIV/0!</v>
      </c>
      <c r="K90" s="8"/>
      <c r="L90" s="8"/>
      <c r="M90" s="15" t="e">
        <f t="shared" si="6"/>
        <v>#DIV/0!</v>
      </c>
      <c r="N90" s="8"/>
      <c r="O90" s="8"/>
      <c r="P90" s="15" t="e">
        <f t="shared" si="7"/>
        <v>#DIV/0!</v>
      </c>
      <c r="Q90" s="10"/>
      <c r="R90" s="201" t="e">
        <f t="shared" si="8"/>
        <v>#DIV/0!</v>
      </c>
      <c r="S90" s="202"/>
      <c r="T90" s="202"/>
      <c r="U90" s="203"/>
      <c r="V90" s="14" t="e">
        <f t="shared" si="9"/>
        <v>#DIV/0!</v>
      </c>
      <c r="W90" s="10"/>
      <c r="X90" s="10"/>
    </row>
    <row r="91" spans="1:24" ht="15.75" customHeight="1" x14ac:dyDescent="0.25">
      <c r="A91" s="6">
        <v>31</v>
      </c>
      <c r="B91" s="111" t="s">
        <v>60</v>
      </c>
      <c r="C91" s="8"/>
      <c r="D91" s="8"/>
      <c r="E91" s="8"/>
      <c r="F91" s="8"/>
      <c r="G91" s="8"/>
      <c r="H91" s="8"/>
      <c r="I91" s="8"/>
      <c r="J91" s="15" t="e">
        <f t="shared" si="5"/>
        <v>#DIV/0!</v>
      </c>
      <c r="K91" s="8"/>
      <c r="L91" s="8"/>
      <c r="M91" s="15" t="e">
        <f t="shared" si="6"/>
        <v>#DIV/0!</v>
      </c>
      <c r="N91" s="8"/>
      <c r="O91" s="8"/>
      <c r="P91" s="15" t="e">
        <f t="shared" si="7"/>
        <v>#DIV/0!</v>
      </c>
      <c r="Q91" s="10"/>
      <c r="R91" s="201" t="e">
        <f t="shared" si="8"/>
        <v>#DIV/0!</v>
      </c>
      <c r="S91" s="202"/>
      <c r="T91" s="202"/>
      <c r="U91" s="203"/>
      <c r="V91" s="14" t="e">
        <f t="shared" si="9"/>
        <v>#DIV/0!</v>
      </c>
      <c r="W91" s="10"/>
      <c r="X91" s="10"/>
    </row>
    <row r="92" spans="1:24" ht="15.75" customHeight="1" x14ac:dyDescent="0.25">
      <c r="A92" s="6">
        <v>32</v>
      </c>
      <c r="B92" s="111" t="s">
        <v>107</v>
      </c>
      <c r="C92" s="8"/>
      <c r="D92" s="8"/>
      <c r="E92" s="8"/>
      <c r="F92" s="8"/>
      <c r="G92" s="8"/>
      <c r="H92" s="8"/>
      <c r="I92" s="8"/>
      <c r="J92" s="15" t="e">
        <f t="shared" si="5"/>
        <v>#DIV/0!</v>
      </c>
      <c r="K92" s="8"/>
      <c r="L92" s="8"/>
      <c r="M92" s="15" t="e">
        <f t="shared" si="6"/>
        <v>#DIV/0!</v>
      </c>
      <c r="N92" s="8"/>
      <c r="O92" s="8"/>
      <c r="P92" s="15" t="e">
        <f t="shared" si="7"/>
        <v>#DIV/0!</v>
      </c>
      <c r="Q92" s="10"/>
      <c r="R92" s="201" t="e">
        <f t="shared" si="8"/>
        <v>#DIV/0!</v>
      </c>
      <c r="S92" s="202"/>
      <c r="T92" s="202"/>
      <c r="U92" s="203"/>
      <c r="V92" s="14" t="e">
        <f t="shared" si="9"/>
        <v>#DIV/0!</v>
      </c>
      <c r="W92" s="10"/>
      <c r="X92" s="10"/>
    </row>
    <row r="93" spans="1:24" ht="15.75" customHeight="1" x14ac:dyDescent="0.25">
      <c r="A93" s="6">
        <v>33</v>
      </c>
      <c r="B93" s="111" t="s">
        <v>88</v>
      </c>
      <c r="C93" s="8"/>
      <c r="D93" s="8"/>
      <c r="E93" s="8"/>
      <c r="F93" s="8"/>
      <c r="G93" s="8"/>
      <c r="H93" s="8"/>
      <c r="I93" s="8"/>
      <c r="J93" s="15" t="e">
        <f t="shared" si="5"/>
        <v>#DIV/0!</v>
      </c>
      <c r="K93" s="8"/>
      <c r="L93" s="8"/>
      <c r="M93" s="15" t="e">
        <f t="shared" si="6"/>
        <v>#DIV/0!</v>
      </c>
      <c r="N93" s="8"/>
      <c r="O93" s="8"/>
      <c r="P93" s="15" t="e">
        <f t="shared" si="7"/>
        <v>#DIV/0!</v>
      </c>
      <c r="Q93" s="10"/>
      <c r="R93" s="201" t="e">
        <f t="shared" si="8"/>
        <v>#DIV/0!</v>
      </c>
      <c r="S93" s="202"/>
      <c r="T93" s="202"/>
      <c r="U93" s="203"/>
      <c r="V93" s="14" t="e">
        <f t="shared" si="9"/>
        <v>#DIV/0!</v>
      </c>
      <c r="W93" s="10"/>
      <c r="X93" s="10"/>
    </row>
    <row r="94" spans="1:24" ht="15.75" customHeight="1" x14ac:dyDescent="0.25">
      <c r="A94" s="6">
        <v>34</v>
      </c>
      <c r="B94" s="111" t="s">
        <v>545</v>
      </c>
      <c r="C94" s="13"/>
      <c r="D94" s="13"/>
      <c r="E94" s="13"/>
      <c r="F94" s="8"/>
      <c r="G94" s="8"/>
      <c r="H94" s="8"/>
      <c r="I94" s="8"/>
      <c r="J94" s="15" t="e">
        <f t="shared" si="5"/>
        <v>#DIV/0!</v>
      </c>
      <c r="K94" s="8"/>
      <c r="L94" s="8"/>
      <c r="M94" s="15" t="e">
        <f t="shared" si="6"/>
        <v>#DIV/0!</v>
      </c>
      <c r="N94" s="8"/>
      <c r="O94" s="8"/>
      <c r="P94" s="15" t="e">
        <f t="shared" si="7"/>
        <v>#DIV/0!</v>
      </c>
      <c r="Q94" s="10"/>
      <c r="R94" s="201" t="e">
        <f t="shared" si="8"/>
        <v>#DIV/0!</v>
      </c>
      <c r="S94" s="202"/>
      <c r="T94" s="202"/>
      <c r="U94" s="203"/>
      <c r="V94" s="14" t="e">
        <f t="shared" si="9"/>
        <v>#DIV/0!</v>
      </c>
      <c r="W94" s="10"/>
      <c r="X94" s="10"/>
    </row>
    <row r="95" spans="1:24" ht="15.75" customHeight="1" x14ac:dyDescent="0.25">
      <c r="A95" s="6">
        <v>35</v>
      </c>
      <c r="B95" s="111"/>
      <c r="C95" s="160"/>
      <c r="D95" s="160"/>
      <c r="E95" s="160"/>
      <c r="F95" s="26"/>
      <c r="G95" s="8"/>
      <c r="H95" s="8"/>
      <c r="I95" s="8"/>
      <c r="J95" s="15" t="e">
        <f t="shared" si="5"/>
        <v>#DIV/0!</v>
      </c>
      <c r="K95" s="8"/>
      <c r="L95" s="8"/>
      <c r="M95" s="15" t="e">
        <f t="shared" si="6"/>
        <v>#DIV/0!</v>
      </c>
      <c r="N95" s="8"/>
      <c r="O95" s="8"/>
      <c r="P95" s="15" t="e">
        <f t="shared" si="7"/>
        <v>#DIV/0!</v>
      </c>
      <c r="Q95" s="10"/>
      <c r="R95" s="201" t="e">
        <f t="shared" si="8"/>
        <v>#DIV/0!</v>
      </c>
      <c r="S95" s="202"/>
      <c r="T95" s="202"/>
      <c r="U95" s="203"/>
      <c r="V95" s="14" t="e">
        <f t="shared" si="9"/>
        <v>#DIV/0!</v>
      </c>
      <c r="W95" s="10"/>
      <c r="X95" s="10"/>
    </row>
    <row r="96" spans="1:24" ht="15.75" customHeight="1" x14ac:dyDescent="0.25">
      <c r="A96" s="6">
        <v>36</v>
      </c>
      <c r="B96" s="159"/>
      <c r="C96" s="160"/>
      <c r="D96" s="160"/>
      <c r="E96" s="160"/>
      <c r="F96" s="26"/>
      <c r="G96" s="8"/>
      <c r="H96" s="8"/>
      <c r="I96" s="8"/>
      <c r="J96" s="15" t="e">
        <f t="shared" si="5"/>
        <v>#DIV/0!</v>
      </c>
      <c r="K96" s="8"/>
      <c r="L96" s="8"/>
      <c r="M96" s="15" t="e">
        <f t="shared" si="6"/>
        <v>#DIV/0!</v>
      </c>
      <c r="N96" s="8"/>
      <c r="O96" s="8"/>
      <c r="P96" s="15" t="e">
        <f t="shared" si="7"/>
        <v>#DIV/0!</v>
      </c>
      <c r="Q96" s="10"/>
      <c r="R96" s="201" t="e">
        <f t="shared" si="8"/>
        <v>#DIV/0!</v>
      </c>
      <c r="S96" s="202"/>
      <c r="T96" s="202"/>
      <c r="U96" s="203"/>
      <c r="V96" s="14" t="e">
        <f t="shared" si="9"/>
        <v>#DIV/0!</v>
      </c>
      <c r="W96" s="10"/>
      <c r="X96" s="10"/>
    </row>
    <row r="97" spans="1:24" ht="15.75" customHeight="1" x14ac:dyDescent="0.25">
      <c r="A97" s="6">
        <v>37</v>
      </c>
      <c r="B97" s="105" t="s">
        <v>61</v>
      </c>
      <c r="C97" s="9"/>
      <c r="D97" s="9"/>
      <c r="E97" s="9"/>
      <c r="F97" s="8"/>
      <c r="G97" s="8"/>
      <c r="H97" s="8"/>
      <c r="I97" s="8"/>
      <c r="J97" s="15" t="e">
        <f t="shared" si="5"/>
        <v>#DIV/0!</v>
      </c>
      <c r="K97" s="8"/>
      <c r="L97" s="8"/>
      <c r="M97" s="15" t="e">
        <f t="shared" si="6"/>
        <v>#DIV/0!</v>
      </c>
      <c r="N97" s="8"/>
      <c r="O97" s="8"/>
      <c r="P97" s="15" t="e">
        <f t="shared" si="7"/>
        <v>#DIV/0!</v>
      </c>
      <c r="Q97" s="10"/>
      <c r="R97" s="201" t="e">
        <f t="shared" si="8"/>
        <v>#DIV/0!</v>
      </c>
      <c r="S97" s="202"/>
      <c r="T97" s="202"/>
      <c r="U97" s="203"/>
      <c r="V97" s="14" t="e">
        <f t="shared" si="9"/>
        <v>#DIV/0!</v>
      </c>
      <c r="W97" s="10"/>
      <c r="X97" s="10"/>
    </row>
    <row r="98" spans="1:24" ht="15.75" customHeight="1" x14ac:dyDescent="0.25">
      <c r="A98" s="6">
        <v>38</v>
      </c>
      <c r="B98" s="105"/>
      <c r="C98" s="8"/>
      <c r="D98" s="8"/>
      <c r="E98" s="8"/>
      <c r="F98" s="8"/>
      <c r="G98" s="8"/>
      <c r="H98" s="8"/>
      <c r="I98" s="8"/>
      <c r="J98" s="15" t="e">
        <f t="shared" si="5"/>
        <v>#DIV/0!</v>
      </c>
      <c r="K98" s="8"/>
      <c r="L98" s="8"/>
      <c r="M98" s="15" t="e">
        <f t="shared" si="6"/>
        <v>#DIV/0!</v>
      </c>
      <c r="N98" s="8"/>
      <c r="O98" s="8"/>
      <c r="P98" s="15" t="e">
        <f t="shared" si="7"/>
        <v>#DIV/0!</v>
      </c>
      <c r="Q98" s="10"/>
      <c r="R98" s="201" t="e">
        <f t="shared" si="8"/>
        <v>#DIV/0!</v>
      </c>
      <c r="S98" s="202"/>
      <c r="T98" s="202"/>
      <c r="U98" s="203"/>
      <c r="V98" s="14" t="e">
        <f t="shared" si="9"/>
        <v>#DIV/0!</v>
      </c>
      <c r="W98" s="10"/>
      <c r="X98" s="10"/>
    </row>
    <row r="99" spans="1:24" ht="15.75" customHeight="1" x14ac:dyDescent="0.25">
      <c r="A99" s="6">
        <v>39</v>
      </c>
      <c r="B99" s="105" t="s">
        <v>61</v>
      </c>
      <c r="C99" s="8"/>
      <c r="D99" s="8"/>
      <c r="E99" s="8"/>
      <c r="F99" s="8"/>
      <c r="G99" s="8"/>
      <c r="H99" s="8"/>
      <c r="I99" s="8"/>
      <c r="J99" s="15" t="e">
        <f t="shared" si="5"/>
        <v>#DIV/0!</v>
      </c>
      <c r="K99" s="8"/>
      <c r="L99" s="8"/>
      <c r="M99" s="15" t="e">
        <f t="shared" si="6"/>
        <v>#DIV/0!</v>
      </c>
      <c r="N99" s="8"/>
      <c r="O99" s="8"/>
      <c r="P99" s="15" t="e">
        <f t="shared" si="7"/>
        <v>#DIV/0!</v>
      </c>
      <c r="Q99" s="10"/>
      <c r="R99" s="201" t="e">
        <f t="shared" si="8"/>
        <v>#DIV/0!</v>
      </c>
      <c r="S99" s="202"/>
      <c r="T99" s="202"/>
      <c r="U99" s="203"/>
      <c r="V99" s="14" t="e">
        <f t="shared" si="9"/>
        <v>#DIV/0!</v>
      </c>
      <c r="W99" s="10"/>
      <c r="X99" s="10"/>
    </row>
    <row r="100" spans="1:24" ht="15.75" customHeight="1" x14ac:dyDescent="0.25">
      <c r="A100" s="6">
        <v>40</v>
      </c>
      <c r="B100" s="105"/>
      <c r="C100" s="8"/>
      <c r="D100" s="8"/>
      <c r="E100" s="8"/>
      <c r="F100" s="8"/>
      <c r="G100" s="8"/>
      <c r="H100" s="8"/>
      <c r="I100" s="8"/>
      <c r="J100" s="15" t="e">
        <f t="shared" si="5"/>
        <v>#DIV/0!</v>
      </c>
      <c r="K100" s="8"/>
      <c r="L100" s="8"/>
      <c r="M100" s="15" t="e">
        <f t="shared" si="6"/>
        <v>#DIV/0!</v>
      </c>
      <c r="N100" s="8"/>
      <c r="O100" s="8"/>
      <c r="P100" s="15" t="e">
        <f t="shared" si="7"/>
        <v>#DIV/0!</v>
      </c>
      <c r="Q100" s="10"/>
      <c r="R100" s="201" t="e">
        <f t="shared" si="8"/>
        <v>#DIV/0!</v>
      </c>
      <c r="S100" s="202"/>
      <c r="T100" s="202"/>
      <c r="U100" s="203"/>
      <c r="V100" s="14" t="e">
        <f t="shared" si="9"/>
        <v>#DIV/0!</v>
      </c>
      <c r="W100" s="10"/>
      <c r="X100" s="10"/>
    </row>
    <row r="101" spans="1:24" ht="15.75" customHeight="1" x14ac:dyDescent="0.25">
      <c r="A101" s="6">
        <v>41</v>
      </c>
      <c r="B101" s="105"/>
      <c r="C101" s="8"/>
      <c r="D101" s="8"/>
      <c r="E101" s="8"/>
      <c r="F101" s="8"/>
      <c r="G101" s="8"/>
      <c r="H101" s="8"/>
      <c r="I101" s="8"/>
      <c r="J101" s="15" t="e">
        <f t="shared" si="5"/>
        <v>#DIV/0!</v>
      </c>
      <c r="K101" s="8"/>
      <c r="L101" s="8"/>
      <c r="M101" s="15" t="e">
        <f t="shared" si="6"/>
        <v>#DIV/0!</v>
      </c>
      <c r="N101" s="8"/>
      <c r="O101" s="8"/>
      <c r="P101" s="15" t="e">
        <f t="shared" si="7"/>
        <v>#DIV/0!</v>
      </c>
      <c r="Q101" s="10"/>
      <c r="R101" s="201" t="e">
        <f t="shared" si="8"/>
        <v>#DIV/0!</v>
      </c>
      <c r="S101" s="202"/>
      <c r="T101" s="202"/>
      <c r="U101" s="203"/>
      <c r="V101" s="14" t="e">
        <f t="shared" si="9"/>
        <v>#DIV/0!</v>
      </c>
      <c r="W101" s="10"/>
      <c r="X101" s="10"/>
    </row>
    <row r="102" spans="1:24" ht="15.75" customHeight="1" x14ac:dyDescent="0.25">
      <c r="A102" s="6">
        <v>42</v>
      </c>
      <c r="B102" s="105"/>
      <c r="C102" s="8"/>
      <c r="D102" s="8"/>
      <c r="E102" s="8"/>
      <c r="F102" s="8"/>
      <c r="G102" s="8"/>
      <c r="H102" s="8"/>
      <c r="I102" s="8"/>
      <c r="J102" s="15" t="e">
        <f t="shared" si="5"/>
        <v>#DIV/0!</v>
      </c>
      <c r="K102" s="8"/>
      <c r="L102" s="8"/>
      <c r="M102" s="15" t="e">
        <f t="shared" si="6"/>
        <v>#DIV/0!</v>
      </c>
      <c r="N102" s="8"/>
      <c r="O102" s="8"/>
      <c r="P102" s="15" t="e">
        <f t="shared" si="7"/>
        <v>#DIV/0!</v>
      </c>
      <c r="Q102" s="10"/>
      <c r="R102" s="201" t="e">
        <f t="shared" si="8"/>
        <v>#DIV/0!</v>
      </c>
      <c r="S102" s="202"/>
      <c r="T102" s="202"/>
      <c r="U102" s="203"/>
      <c r="V102" s="14" t="e">
        <f t="shared" si="9"/>
        <v>#DIV/0!</v>
      </c>
      <c r="W102" s="10"/>
      <c r="X102" s="10"/>
    </row>
    <row r="103" spans="1:24" ht="15.75" customHeight="1" x14ac:dyDescent="0.25">
      <c r="A103" s="6">
        <v>43</v>
      </c>
      <c r="B103" s="105"/>
      <c r="C103" s="8"/>
      <c r="D103" s="8"/>
      <c r="E103" s="8"/>
      <c r="F103" s="8"/>
      <c r="G103" s="8"/>
      <c r="H103" s="8"/>
      <c r="I103" s="8"/>
      <c r="J103" s="15" t="e">
        <f t="shared" si="5"/>
        <v>#DIV/0!</v>
      </c>
      <c r="K103" s="8"/>
      <c r="L103" s="8"/>
      <c r="M103" s="15" t="e">
        <f t="shared" si="6"/>
        <v>#DIV/0!</v>
      </c>
      <c r="N103" s="8"/>
      <c r="O103" s="8"/>
      <c r="P103" s="15" t="e">
        <f t="shared" si="7"/>
        <v>#DIV/0!</v>
      </c>
      <c r="Q103" s="10"/>
      <c r="R103" s="201" t="e">
        <f t="shared" si="8"/>
        <v>#DIV/0!</v>
      </c>
      <c r="S103" s="202"/>
      <c r="T103" s="202"/>
      <c r="U103" s="203"/>
      <c r="V103" s="14" t="e">
        <f t="shared" si="9"/>
        <v>#DIV/0!</v>
      </c>
      <c r="W103" s="10"/>
      <c r="X103" s="10"/>
    </row>
    <row r="104" spans="1:24" ht="15.75" customHeight="1" x14ac:dyDescent="0.25">
      <c r="A104" s="187"/>
      <c r="B104" s="305"/>
      <c r="C104" s="205"/>
      <c r="D104" s="205"/>
      <c r="E104" s="210"/>
      <c r="F104" s="211"/>
      <c r="G104" s="211"/>
      <c r="H104" s="211"/>
      <c r="I104" s="211"/>
      <c r="J104" s="204"/>
      <c r="K104" s="204"/>
      <c r="L104" s="205"/>
      <c r="M104" s="185"/>
      <c r="N104" s="185"/>
      <c r="O104" s="185"/>
      <c r="P104" s="185"/>
      <c r="Q104" s="187"/>
      <c r="R104" s="188"/>
      <c r="S104" s="189"/>
      <c r="T104" s="190"/>
      <c r="U104" s="194"/>
      <c r="V104" s="195"/>
      <c r="W104" s="206"/>
      <c r="X104" s="181"/>
    </row>
    <row r="105" spans="1:24" ht="15.75" customHeight="1" x14ac:dyDescent="0.25">
      <c r="A105" s="187"/>
      <c r="B105" s="302"/>
      <c r="C105" s="205"/>
      <c r="D105" s="205"/>
      <c r="E105" s="210"/>
      <c r="F105" s="211"/>
      <c r="G105" s="211"/>
      <c r="H105" s="211"/>
      <c r="I105" s="211"/>
      <c r="J105" s="204"/>
      <c r="K105" s="204"/>
      <c r="L105" s="205"/>
      <c r="M105" s="185"/>
      <c r="N105" s="185"/>
      <c r="O105" s="185"/>
      <c r="P105" s="185"/>
      <c r="Q105" s="187"/>
      <c r="R105" s="188"/>
      <c r="S105" s="189"/>
      <c r="T105" s="190"/>
      <c r="U105" s="194"/>
      <c r="V105" s="195"/>
      <c r="W105" s="206"/>
      <c r="X105" s="181"/>
    </row>
    <row r="106" spans="1:24" ht="15.75" customHeight="1" x14ac:dyDescent="0.25">
      <c r="A106" s="187"/>
      <c r="B106" s="303"/>
      <c r="C106" s="205"/>
      <c r="D106" s="205"/>
      <c r="E106" s="210"/>
      <c r="F106" s="211"/>
      <c r="G106" s="211"/>
      <c r="H106" s="211"/>
      <c r="I106" s="211"/>
      <c r="J106" s="204"/>
      <c r="K106" s="204"/>
      <c r="L106" s="205"/>
      <c r="M106" s="185"/>
      <c r="N106" s="185"/>
      <c r="O106" s="185"/>
      <c r="P106" s="185"/>
      <c r="Q106" s="187"/>
      <c r="R106" s="188"/>
      <c r="S106" s="189"/>
      <c r="T106" s="190"/>
      <c r="U106" s="194"/>
      <c r="V106" s="195"/>
      <c r="W106" s="206"/>
      <c r="X106" s="181"/>
    </row>
    <row r="107" spans="1:24" ht="79.5" customHeight="1" thickBot="1" x14ac:dyDescent="0.3">
      <c r="A107" s="187"/>
      <c r="B107" s="306"/>
      <c r="C107" s="205"/>
      <c r="D107" s="205"/>
      <c r="E107" s="210"/>
      <c r="F107" s="212"/>
      <c r="G107" s="212"/>
      <c r="H107" s="212"/>
      <c r="I107" s="212"/>
      <c r="J107" s="204"/>
      <c r="K107" s="204"/>
      <c r="L107" s="205"/>
      <c r="M107" s="186"/>
      <c r="N107" s="186"/>
      <c r="O107" s="186"/>
      <c r="P107" s="186"/>
      <c r="Q107" s="187"/>
      <c r="R107" s="191"/>
      <c r="S107" s="192"/>
      <c r="T107" s="193"/>
      <c r="U107" s="196"/>
      <c r="V107" s="197"/>
      <c r="W107" s="207"/>
      <c r="X107" s="182"/>
    </row>
    <row r="108" spans="1:24" ht="15.75" customHeight="1" thickTop="1" thickBot="1" x14ac:dyDescent="0.3"/>
    <row r="109" spans="1:24" ht="87.75" customHeight="1" thickBot="1" x14ac:dyDescent="0.3">
      <c r="A109" s="290"/>
      <c r="B109" s="291"/>
      <c r="C109" s="291"/>
      <c r="D109" s="291"/>
      <c r="E109" s="291"/>
      <c r="F109" s="291"/>
      <c r="G109" s="291"/>
      <c r="H109" s="291"/>
      <c r="I109" s="291"/>
      <c r="J109" s="291"/>
      <c r="K109" s="291"/>
      <c r="L109" s="291"/>
      <c r="M109" s="291"/>
      <c r="N109" s="291"/>
      <c r="O109" s="291"/>
      <c r="P109" s="292"/>
      <c r="Q109" s="288"/>
      <c r="R109" s="289"/>
      <c r="S109" s="289"/>
      <c r="T109" s="289"/>
      <c r="U109" s="289"/>
      <c r="V109" s="289"/>
      <c r="W109" s="289"/>
      <c r="X109" s="289"/>
    </row>
    <row r="110" spans="1:24" ht="15.75" customHeight="1" thickBot="1" x14ac:dyDescent="0.3">
      <c r="A110" s="296" t="s">
        <v>281</v>
      </c>
      <c r="B110" s="297"/>
      <c r="C110" s="298" t="s">
        <v>931</v>
      </c>
      <c r="D110" s="299"/>
      <c r="E110" s="299"/>
      <c r="F110" s="299"/>
      <c r="G110" s="299"/>
      <c r="H110" s="299"/>
      <c r="I110" s="300"/>
      <c r="J110" s="223" t="s">
        <v>20</v>
      </c>
      <c r="K110" s="224"/>
      <c r="L110" s="224"/>
      <c r="M110" s="224"/>
      <c r="N110" s="225"/>
      <c r="O110" s="225"/>
      <c r="P110" s="225"/>
      <c r="Q110" s="226"/>
      <c r="R110" s="227" t="s">
        <v>23</v>
      </c>
      <c r="S110" s="228"/>
      <c r="T110" s="228"/>
      <c r="U110" s="228"/>
      <c r="V110" s="228"/>
      <c r="W110" s="228"/>
      <c r="X110" s="229"/>
    </row>
    <row r="111" spans="1:24" ht="15.75" customHeight="1" x14ac:dyDescent="0.25">
      <c r="A111" s="230" t="s">
        <v>0</v>
      </c>
      <c r="B111" s="293" t="s">
        <v>1</v>
      </c>
      <c r="C111" s="235" t="s">
        <v>12</v>
      </c>
      <c r="D111" s="235"/>
      <c r="E111" s="235"/>
      <c r="F111" s="235"/>
      <c r="G111" s="235"/>
      <c r="H111" s="235"/>
      <c r="I111" s="235"/>
      <c r="J111" s="235"/>
      <c r="K111" s="236" t="s">
        <v>13</v>
      </c>
      <c r="L111" s="237"/>
      <c r="M111" s="237"/>
      <c r="N111" s="240" t="s">
        <v>15</v>
      </c>
      <c r="O111" s="240"/>
      <c r="P111" s="240"/>
      <c r="Q111" s="241" t="s">
        <v>4</v>
      </c>
      <c r="R111" s="244" t="s">
        <v>11</v>
      </c>
      <c r="S111" s="244"/>
      <c r="T111" s="244"/>
      <c r="U111" s="244"/>
      <c r="V111" s="244"/>
      <c r="W111" s="246" t="s">
        <v>2</v>
      </c>
      <c r="X111" s="247"/>
    </row>
    <row r="112" spans="1:24" ht="15.75" customHeight="1" x14ac:dyDescent="0.25">
      <c r="A112" s="231"/>
      <c r="B112" s="294"/>
      <c r="C112" s="248" t="s">
        <v>6</v>
      </c>
      <c r="D112" s="248" t="s">
        <v>17</v>
      </c>
      <c r="E112" s="248" t="s">
        <v>5</v>
      </c>
      <c r="F112" s="250"/>
      <c r="G112" s="250"/>
      <c r="H112" s="250"/>
      <c r="I112" s="251" t="s">
        <v>16</v>
      </c>
      <c r="J112" s="253" t="s">
        <v>14</v>
      </c>
      <c r="K112" s="238"/>
      <c r="L112" s="239"/>
      <c r="M112" s="239"/>
      <c r="N112" s="240"/>
      <c r="O112" s="240"/>
      <c r="P112" s="240"/>
      <c r="Q112" s="242"/>
      <c r="R112" s="245"/>
      <c r="S112" s="245"/>
      <c r="T112" s="245"/>
      <c r="U112" s="245"/>
      <c r="V112" s="245"/>
      <c r="W112" s="187"/>
      <c r="X112" s="187"/>
    </row>
    <row r="113" spans="1:24" ht="29.25" customHeight="1" x14ac:dyDescent="0.25">
      <c r="A113" s="232"/>
      <c r="B113" s="295"/>
      <c r="C113" s="249"/>
      <c r="D113" s="249"/>
      <c r="E113" s="249"/>
      <c r="F113" s="249"/>
      <c r="G113" s="249"/>
      <c r="H113" s="249"/>
      <c r="I113" s="252"/>
      <c r="J113" s="254"/>
      <c r="K113" s="2" t="s">
        <v>9</v>
      </c>
      <c r="L113" s="2" t="s">
        <v>10</v>
      </c>
      <c r="M113" s="21" t="s">
        <v>3</v>
      </c>
      <c r="N113" s="2" t="s">
        <v>9</v>
      </c>
      <c r="O113" s="2" t="s">
        <v>10</v>
      </c>
      <c r="P113" s="22" t="s">
        <v>3</v>
      </c>
      <c r="Q113" s="243"/>
      <c r="R113" s="198" t="s">
        <v>7</v>
      </c>
      <c r="S113" s="199"/>
      <c r="T113" s="199"/>
      <c r="U113" s="200"/>
      <c r="V113" s="23" t="s">
        <v>8</v>
      </c>
      <c r="W113" s="5">
        <v>1</v>
      </c>
      <c r="X113" s="5">
        <v>2</v>
      </c>
    </row>
    <row r="114" spans="1:24" ht="15.75" customHeight="1" x14ac:dyDescent="0.25">
      <c r="A114" s="6">
        <v>1</v>
      </c>
      <c r="B114" s="161" t="s">
        <v>125</v>
      </c>
      <c r="C114" s="8"/>
      <c r="D114" s="8"/>
      <c r="E114" s="8"/>
      <c r="F114" s="8"/>
      <c r="G114" s="8"/>
      <c r="H114" s="8"/>
      <c r="I114" s="9"/>
      <c r="J114" s="15" t="e">
        <f>((AVERAGE(C114:H114))*72%)+I114*8%</f>
        <v>#DIV/0!</v>
      </c>
      <c r="K114" s="8"/>
      <c r="L114" s="8"/>
      <c r="M114" s="15" t="e">
        <f>(AVERAGE(K114:L114))*10%</f>
        <v>#DIV/0!</v>
      </c>
      <c r="N114" s="9"/>
      <c r="O114" s="9"/>
      <c r="P114" s="15" t="e">
        <f>(AVERAGE(N114:O114))*10%</f>
        <v>#DIV/0!</v>
      </c>
      <c r="Q114" s="8"/>
      <c r="R114" s="201" t="e">
        <f>IF(V114&lt;65,"BAJO",IF(V114&lt;=79,"BASICO",IF(V114&lt;=89,"ALTO",IF(V114&lt;=100,"SUPERIOR"))))</f>
        <v>#DIV/0!</v>
      </c>
      <c r="S114" s="202"/>
      <c r="T114" s="202"/>
      <c r="U114" s="203"/>
      <c r="V114" s="14" t="e">
        <f>J114+M114+P114</f>
        <v>#DIV/0!</v>
      </c>
      <c r="W114" s="10"/>
      <c r="X114" s="10"/>
    </row>
    <row r="115" spans="1:24" ht="15.75" customHeight="1" x14ac:dyDescent="0.25">
      <c r="A115" s="6">
        <v>2</v>
      </c>
      <c r="B115" s="111" t="s">
        <v>546</v>
      </c>
      <c r="C115" s="8"/>
      <c r="D115" s="8"/>
      <c r="E115" s="8"/>
      <c r="F115" s="8"/>
      <c r="G115" s="8"/>
      <c r="H115" s="8"/>
      <c r="I115" s="9"/>
      <c r="J115" s="15" t="e">
        <f t="shared" ref="J115:J159" si="10">((AVERAGE(C115:H115))*72%)+I115*8%</f>
        <v>#DIV/0!</v>
      </c>
      <c r="K115" s="8"/>
      <c r="L115" s="8"/>
      <c r="M115" s="15" t="e">
        <f t="shared" ref="M115:M159" si="11">(AVERAGE(K115:L115))*10%</f>
        <v>#DIV/0!</v>
      </c>
      <c r="N115" s="8"/>
      <c r="O115" s="8"/>
      <c r="P115" s="15" t="e">
        <f t="shared" ref="P115:P159" si="12">(AVERAGE(N115:O115))*10%</f>
        <v>#DIV/0!</v>
      </c>
      <c r="Q115" s="11"/>
      <c r="R115" s="201" t="e">
        <f t="shared" ref="R115:R159" si="13">IF(V115&lt;65,"BAJO",IF(V115&lt;=79,"BASICO",IF(V115&lt;=89,"ALTO",IF(V115&lt;=100,"SUPERIOR"))))</f>
        <v>#DIV/0!</v>
      </c>
      <c r="S115" s="202"/>
      <c r="T115" s="202"/>
      <c r="U115" s="203"/>
      <c r="V115" s="14" t="e">
        <f t="shared" ref="V115:V159" si="14">J115+M115+P115</f>
        <v>#DIV/0!</v>
      </c>
      <c r="W115" s="10"/>
      <c r="X115" s="10"/>
    </row>
    <row r="116" spans="1:24" ht="15.75" customHeight="1" x14ac:dyDescent="0.25">
      <c r="A116" s="6">
        <v>3</v>
      </c>
      <c r="B116" s="111" t="s">
        <v>126</v>
      </c>
      <c r="C116" s="8"/>
      <c r="D116" s="8"/>
      <c r="E116" s="8"/>
      <c r="F116" s="8"/>
      <c r="G116" s="8"/>
      <c r="H116" s="8"/>
      <c r="I116" s="9"/>
      <c r="J116" s="15" t="e">
        <f t="shared" si="10"/>
        <v>#DIV/0!</v>
      </c>
      <c r="K116" s="8"/>
      <c r="L116" s="8"/>
      <c r="M116" s="15" t="e">
        <f t="shared" si="11"/>
        <v>#DIV/0!</v>
      </c>
      <c r="N116" s="8"/>
      <c r="O116" s="8"/>
      <c r="P116" s="15" t="e">
        <f t="shared" si="12"/>
        <v>#DIV/0!</v>
      </c>
      <c r="Q116" s="11"/>
      <c r="R116" s="201" t="e">
        <f t="shared" si="13"/>
        <v>#DIV/0!</v>
      </c>
      <c r="S116" s="202"/>
      <c r="T116" s="202"/>
      <c r="U116" s="203"/>
      <c r="V116" s="14" t="e">
        <f t="shared" si="14"/>
        <v>#DIV/0!</v>
      </c>
      <c r="W116" s="10"/>
      <c r="X116" s="10"/>
    </row>
    <row r="117" spans="1:24" ht="15.75" customHeight="1" x14ac:dyDescent="0.25">
      <c r="A117" s="6">
        <v>4</v>
      </c>
      <c r="B117" s="111" t="s">
        <v>839</v>
      </c>
      <c r="C117" s="8"/>
      <c r="D117" s="8"/>
      <c r="E117" s="8"/>
      <c r="F117" s="8"/>
      <c r="G117" s="8"/>
      <c r="H117" s="8"/>
      <c r="I117" s="8"/>
      <c r="J117" s="15" t="e">
        <f t="shared" si="10"/>
        <v>#DIV/0!</v>
      </c>
      <c r="K117" s="8"/>
      <c r="L117" s="8"/>
      <c r="M117" s="15" t="e">
        <f t="shared" si="11"/>
        <v>#DIV/0!</v>
      </c>
      <c r="N117" s="8"/>
      <c r="O117" s="8"/>
      <c r="P117" s="15" t="e">
        <f t="shared" si="12"/>
        <v>#DIV/0!</v>
      </c>
      <c r="Q117" s="11"/>
      <c r="R117" s="201" t="e">
        <f t="shared" si="13"/>
        <v>#DIV/0!</v>
      </c>
      <c r="S117" s="202"/>
      <c r="T117" s="202"/>
      <c r="U117" s="203"/>
      <c r="V117" s="14" t="e">
        <f t="shared" si="14"/>
        <v>#DIV/0!</v>
      </c>
      <c r="W117" s="10"/>
      <c r="X117" s="10"/>
    </row>
    <row r="118" spans="1:24" ht="15.75" customHeight="1" x14ac:dyDescent="0.25">
      <c r="A118" s="6">
        <v>5</v>
      </c>
      <c r="B118" s="111" t="s">
        <v>69</v>
      </c>
      <c r="C118" s="8"/>
      <c r="D118" s="8"/>
      <c r="E118" s="8"/>
      <c r="F118" s="8"/>
      <c r="G118" s="8"/>
      <c r="H118" s="8"/>
      <c r="I118" s="8"/>
      <c r="J118" s="15" t="e">
        <f t="shared" si="10"/>
        <v>#DIV/0!</v>
      </c>
      <c r="K118" s="8"/>
      <c r="L118" s="8"/>
      <c r="M118" s="15" t="e">
        <f t="shared" si="11"/>
        <v>#DIV/0!</v>
      </c>
      <c r="N118" s="8"/>
      <c r="O118" s="8"/>
      <c r="P118" s="15" t="e">
        <f t="shared" si="12"/>
        <v>#DIV/0!</v>
      </c>
      <c r="Q118" s="10"/>
      <c r="R118" s="201" t="e">
        <f t="shared" si="13"/>
        <v>#DIV/0!</v>
      </c>
      <c r="S118" s="202"/>
      <c r="T118" s="202"/>
      <c r="U118" s="203"/>
      <c r="V118" s="14" t="e">
        <f t="shared" si="14"/>
        <v>#DIV/0!</v>
      </c>
      <c r="W118" s="10"/>
      <c r="X118" s="10"/>
    </row>
    <row r="119" spans="1:24" ht="15.75" customHeight="1" x14ac:dyDescent="0.25">
      <c r="A119" s="6">
        <v>6</v>
      </c>
      <c r="B119" s="111" t="s">
        <v>128</v>
      </c>
      <c r="C119" s="8"/>
      <c r="D119" s="8"/>
      <c r="E119" s="8"/>
      <c r="F119" s="8"/>
      <c r="G119" s="8"/>
      <c r="H119" s="8"/>
      <c r="I119" s="8"/>
      <c r="J119" s="15" t="e">
        <f t="shared" si="10"/>
        <v>#DIV/0!</v>
      </c>
      <c r="K119" s="8"/>
      <c r="L119" s="8"/>
      <c r="M119" s="15" t="e">
        <f t="shared" si="11"/>
        <v>#DIV/0!</v>
      </c>
      <c r="N119" s="8"/>
      <c r="O119" s="8"/>
      <c r="P119" s="15" t="e">
        <f t="shared" si="12"/>
        <v>#DIV/0!</v>
      </c>
      <c r="Q119" s="10"/>
      <c r="R119" s="201" t="e">
        <f t="shared" si="13"/>
        <v>#DIV/0!</v>
      </c>
      <c r="S119" s="202"/>
      <c r="T119" s="202"/>
      <c r="U119" s="203"/>
      <c r="V119" s="14" t="e">
        <f t="shared" si="14"/>
        <v>#DIV/0!</v>
      </c>
      <c r="W119" s="10"/>
      <c r="X119" s="10"/>
    </row>
    <row r="120" spans="1:24" ht="15.75" customHeight="1" x14ac:dyDescent="0.25">
      <c r="A120" s="6">
        <v>7</v>
      </c>
      <c r="B120" s="111" t="s">
        <v>97</v>
      </c>
      <c r="C120" s="8"/>
      <c r="D120" s="8"/>
      <c r="E120" s="8"/>
      <c r="F120" s="8"/>
      <c r="G120" s="8"/>
      <c r="H120" s="8"/>
      <c r="I120" s="8"/>
      <c r="J120" s="15" t="e">
        <f t="shared" si="10"/>
        <v>#DIV/0!</v>
      </c>
      <c r="K120" s="8"/>
      <c r="L120" s="8"/>
      <c r="M120" s="15" t="e">
        <f t="shared" si="11"/>
        <v>#DIV/0!</v>
      </c>
      <c r="N120" s="8"/>
      <c r="O120" s="8"/>
      <c r="P120" s="15" t="e">
        <f t="shared" si="12"/>
        <v>#DIV/0!</v>
      </c>
      <c r="Q120" s="10"/>
      <c r="R120" s="201" t="e">
        <f t="shared" si="13"/>
        <v>#DIV/0!</v>
      </c>
      <c r="S120" s="202"/>
      <c r="T120" s="202"/>
      <c r="U120" s="203"/>
      <c r="V120" s="14" t="e">
        <f t="shared" si="14"/>
        <v>#DIV/0!</v>
      </c>
      <c r="W120" s="10"/>
      <c r="X120" s="10"/>
    </row>
    <row r="121" spans="1:24" ht="15.75" customHeight="1" x14ac:dyDescent="0.25">
      <c r="A121" s="6">
        <v>8</v>
      </c>
      <c r="B121" s="111" t="s">
        <v>129</v>
      </c>
      <c r="C121" s="8"/>
      <c r="D121" s="8"/>
      <c r="E121" s="8"/>
      <c r="F121" s="8"/>
      <c r="G121" s="8"/>
      <c r="H121" s="8"/>
      <c r="I121" s="8"/>
      <c r="J121" s="15" t="e">
        <f t="shared" si="10"/>
        <v>#DIV/0!</v>
      </c>
      <c r="K121" s="8"/>
      <c r="L121" s="8"/>
      <c r="M121" s="15" t="e">
        <f t="shared" si="11"/>
        <v>#DIV/0!</v>
      </c>
      <c r="N121" s="8"/>
      <c r="O121" s="8"/>
      <c r="P121" s="15" t="e">
        <f t="shared" si="12"/>
        <v>#DIV/0!</v>
      </c>
      <c r="Q121" s="10"/>
      <c r="R121" s="201" t="e">
        <f t="shared" si="13"/>
        <v>#DIV/0!</v>
      </c>
      <c r="S121" s="202"/>
      <c r="T121" s="202"/>
      <c r="U121" s="203"/>
      <c r="V121" s="14" t="e">
        <f t="shared" si="14"/>
        <v>#DIV/0!</v>
      </c>
      <c r="W121" s="10"/>
      <c r="X121" s="10"/>
    </row>
    <row r="122" spans="1:24" ht="15.75" customHeight="1" x14ac:dyDescent="0.25">
      <c r="A122" s="6">
        <v>9</v>
      </c>
      <c r="B122" s="111" t="s">
        <v>130</v>
      </c>
      <c r="C122" s="8"/>
      <c r="D122" s="8"/>
      <c r="E122" s="8"/>
      <c r="F122" s="8"/>
      <c r="G122" s="8"/>
      <c r="H122" s="8"/>
      <c r="I122" s="8"/>
      <c r="J122" s="15" t="e">
        <f t="shared" si="10"/>
        <v>#DIV/0!</v>
      </c>
      <c r="K122" s="8"/>
      <c r="L122" s="8"/>
      <c r="M122" s="15" t="e">
        <f t="shared" si="11"/>
        <v>#DIV/0!</v>
      </c>
      <c r="N122" s="8"/>
      <c r="O122" s="8"/>
      <c r="P122" s="15" t="e">
        <f t="shared" si="12"/>
        <v>#DIV/0!</v>
      </c>
      <c r="Q122" s="10"/>
      <c r="R122" s="201" t="e">
        <f t="shared" si="13"/>
        <v>#DIV/0!</v>
      </c>
      <c r="S122" s="202"/>
      <c r="T122" s="202"/>
      <c r="U122" s="203"/>
      <c r="V122" s="14" t="e">
        <f t="shared" si="14"/>
        <v>#DIV/0!</v>
      </c>
      <c r="W122" s="10"/>
      <c r="X122" s="10"/>
    </row>
    <row r="123" spans="1:24" ht="15.75" customHeight="1" x14ac:dyDescent="0.25">
      <c r="A123" s="6">
        <v>10</v>
      </c>
      <c r="B123" s="111" t="s">
        <v>131</v>
      </c>
      <c r="C123" s="8"/>
      <c r="D123" s="8"/>
      <c r="E123" s="8"/>
      <c r="F123" s="8"/>
      <c r="G123" s="8"/>
      <c r="H123" s="8"/>
      <c r="I123" s="8"/>
      <c r="J123" s="15" t="e">
        <f t="shared" si="10"/>
        <v>#DIV/0!</v>
      </c>
      <c r="K123" s="8"/>
      <c r="L123" s="8"/>
      <c r="M123" s="15" t="e">
        <f t="shared" si="11"/>
        <v>#DIV/0!</v>
      </c>
      <c r="N123" s="8"/>
      <c r="O123" s="8"/>
      <c r="P123" s="15" t="e">
        <f t="shared" si="12"/>
        <v>#DIV/0!</v>
      </c>
      <c r="Q123" s="10"/>
      <c r="R123" s="201" t="e">
        <f t="shared" si="13"/>
        <v>#DIV/0!</v>
      </c>
      <c r="S123" s="202"/>
      <c r="T123" s="202"/>
      <c r="U123" s="203"/>
      <c r="V123" s="14" t="e">
        <f t="shared" si="14"/>
        <v>#DIV/0!</v>
      </c>
      <c r="W123" s="10"/>
      <c r="X123" s="10"/>
    </row>
    <row r="124" spans="1:24" ht="15.75" customHeight="1" x14ac:dyDescent="0.25">
      <c r="A124" s="6">
        <v>11</v>
      </c>
      <c r="B124" s="111" t="s">
        <v>75</v>
      </c>
      <c r="C124" s="8"/>
      <c r="D124" s="8"/>
      <c r="E124" s="8"/>
      <c r="F124" s="8"/>
      <c r="G124" s="8"/>
      <c r="H124" s="8"/>
      <c r="I124" s="8"/>
      <c r="J124" s="15" t="e">
        <f t="shared" si="10"/>
        <v>#DIV/0!</v>
      </c>
      <c r="K124" s="8"/>
      <c r="L124" s="8"/>
      <c r="M124" s="15" t="e">
        <f t="shared" si="11"/>
        <v>#DIV/0!</v>
      </c>
      <c r="N124" s="8"/>
      <c r="O124" s="8"/>
      <c r="P124" s="15" t="e">
        <f t="shared" si="12"/>
        <v>#DIV/0!</v>
      </c>
      <c r="Q124" s="10"/>
      <c r="R124" s="201" t="e">
        <f t="shared" si="13"/>
        <v>#DIV/0!</v>
      </c>
      <c r="S124" s="202"/>
      <c r="T124" s="202"/>
      <c r="U124" s="203"/>
      <c r="V124" s="14" t="e">
        <f t="shared" si="14"/>
        <v>#DIV/0!</v>
      </c>
      <c r="W124" s="10"/>
      <c r="X124" s="10"/>
    </row>
    <row r="125" spans="1:24" ht="15.75" customHeight="1" x14ac:dyDescent="0.25">
      <c r="A125" s="6">
        <v>12</v>
      </c>
      <c r="B125" s="111" t="s">
        <v>99</v>
      </c>
      <c r="C125" s="8"/>
      <c r="D125" s="8"/>
      <c r="E125" s="8"/>
      <c r="F125" s="8"/>
      <c r="G125" s="8"/>
      <c r="H125" s="8"/>
      <c r="I125" s="8"/>
      <c r="J125" s="15" t="e">
        <f t="shared" si="10"/>
        <v>#DIV/0!</v>
      </c>
      <c r="K125" s="8"/>
      <c r="L125" s="8"/>
      <c r="M125" s="15" t="e">
        <f t="shared" si="11"/>
        <v>#DIV/0!</v>
      </c>
      <c r="N125" s="8"/>
      <c r="O125" s="8"/>
      <c r="P125" s="15" t="e">
        <f t="shared" si="12"/>
        <v>#DIV/0!</v>
      </c>
      <c r="Q125" s="10"/>
      <c r="R125" s="201" t="e">
        <f t="shared" si="13"/>
        <v>#DIV/0!</v>
      </c>
      <c r="S125" s="202"/>
      <c r="T125" s="202"/>
      <c r="U125" s="203"/>
      <c r="V125" s="14" t="e">
        <f t="shared" si="14"/>
        <v>#DIV/0!</v>
      </c>
      <c r="W125" s="10"/>
      <c r="X125" s="10"/>
    </row>
    <row r="126" spans="1:24" ht="15.75" customHeight="1" x14ac:dyDescent="0.25">
      <c r="A126" s="6">
        <v>13</v>
      </c>
      <c r="B126" s="111" t="s">
        <v>132</v>
      </c>
      <c r="C126" s="8"/>
      <c r="D126" s="8"/>
      <c r="E126" s="8"/>
      <c r="F126" s="8"/>
      <c r="G126" s="8"/>
      <c r="H126" s="8"/>
      <c r="I126" s="8"/>
      <c r="J126" s="15" t="e">
        <f t="shared" si="10"/>
        <v>#DIV/0!</v>
      </c>
      <c r="K126" s="8"/>
      <c r="L126" s="8"/>
      <c r="M126" s="15" t="e">
        <f t="shared" si="11"/>
        <v>#DIV/0!</v>
      </c>
      <c r="N126" s="8"/>
      <c r="O126" s="8"/>
      <c r="P126" s="15" t="e">
        <f t="shared" si="12"/>
        <v>#DIV/0!</v>
      </c>
      <c r="Q126" s="10"/>
      <c r="R126" s="201" t="e">
        <f t="shared" si="13"/>
        <v>#DIV/0!</v>
      </c>
      <c r="S126" s="202"/>
      <c r="T126" s="202"/>
      <c r="U126" s="203"/>
      <c r="V126" s="14" t="e">
        <f t="shared" si="14"/>
        <v>#DIV/0!</v>
      </c>
      <c r="W126" s="10"/>
      <c r="X126" s="10"/>
    </row>
    <row r="127" spans="1:24" ht="15.75" customHeight="1" x14ac:dyDescent="0.25">
      <c r="A127" s="6">
        <v>14</v>
      </c>
      <c r="B127" s="111" t="s">
        <v>49</v>
      </c>
      <c r="C127" s="8"/>
      <c r="D127" s="8"/>
      <c r="E127" s="8"/>
      <c r="F127" s="8"/>
      <c r="G127" s="8"/>
      <c r="H127" s="8"/>
      <c r="I127" s="8"/>
      <c r="J127" s="15" t="e">
        <f t="shared" si="10"/>
        <v>#DIV/0!</v>
      </c>
      <c r="K127" s="8"/>
      <c r="L127" s="8"/>
      <c r="M127" s="15" t="e">
        <f t="shared" si="11"/>
        <v>#DIV/0!</v>
      </c>
      <c r="N127" s="8"/>
      <c r="O127" s="8"/>
      <c r="P127" s="15" t="e">
        <f t="shared" si="12"/>
        <v>#DIV/0!</v>
      </c>
      <c r="Q127" s="10"/>
      <c r="R127" s="201" t="e">
        <f t="shared" si="13"/>
        <v>#DIV/0!</v>
      </c>
      <c r="S127" s="202"/>
      <c r="T127" s="202"/>
      <c r="U127" s="203"/>
      <c r="V127" s="14" t="e">
        <f t="shared" si="14"/>
        <v>#DIV/0!</v>
      </c>
      <c r="W127" s="10"/>
      <c r="X127" s="10"/>
    </row>
    <row r="128" spans="1:24" ht="15.75" customHeight="1" x14ac:dyDescent="0.25">
      <c r="A128" s="6">
        <v>15</v>
      </c>
      <c r="B128" s="111" t="s">
        <v>134</v>
      </c>
      <c r="C128" s="8"/>
      <c r="D128" s="8"/>
      <c r="E128" s="8"/>
      <c r="F128" s="8"/>
      <c r="G128" s="8"/>
      <c r="H128" s="8"/>
      <c r="I128" s="8"/>
      <c r="J128" s="15" t="e">
        <f t="shared" si="10"/>
        <v>#DIV/0!</v>
      </c>
      <c r="K128" s="8"/>
      <c r="L128" s="8"/>
      <c r="M128" s="15" t="e">
        <f t="shared" si="11"/>
        <v>#DIV/0!</v>
      </c>
      <c r="N128" s="8"/>
      <c r="O128" s="8"/>
      <c r="P128" s="15" t="e">
        <f t="shared" si="12"/>
        <v>#DIV/0!</v>
      </c>
      <c r="Q128" s="10"/>
      <c r="R128" s="201" t="e">
        <f t="shared" si="13"/>
        <v>#DIV/0!</v>
      </c>
      <c r="S128" s="202"/>
      <c r="T128" s="202"/>
      <c r="U128" s="203"/>
      <c r="V128" s="14" t="e">
        <f t="shared" si="14"/>
        <v>#DIV/0!</v>
      </c>
      <c r="W128" s="10"/>
      <c r="X128" s="10"/>
    </row>
    <row r="129" spans="1:24" ht="15.75" customHeight="1" x14ac:dyDescent="0.25">
      <c r="A129" s="6">
        <v>16</v>
      </c>
      <c r="B129" s="111" t="s">
        <v>82</v>
      </c>
      <c r="C129" s="8"/>
      <c r="D129" s="8"/>
      <c r="E129" s="8"/>
      <c r="F129" s="8"/>
      <c r="G129" s="8"/>
      <c r="H129" s="8"/>
      <c r="I129" s="8"/>
      <c r="J129" s="15" t="e">
        <f t="shared" si="10"/>
        <v>#DIV/0!</v>
      </c>
      <c r="K129" s="8"/>
      <c r="L129" s="8"/>
      <c r="M129" s="15" t="e">
        <f t="shared" si="11"/>
        <v>#DIV/0!</v>
      </c>
      <c r="N129" s="8"/>
      <c r="O129" s="8"/>
      <c r="P129" s="15" t="e">
        <f t="shared" si="12"/>
        <v>#DIV/0!</v>
      </c>
      <c r="Q129" s="10"/>
      <c r="R129" s="201" t="e">
        <f t="shared" si="13"/>
        <v>#DIV/0!</v>
      </c>
      <c r="S129" s="202"/>
      <c r="T129" s="202"/>
      <c r="U129" s="203"/>
      <c r="V129" s="14" t="e">
        <f t="shared" si="14"/>
        <v>#DIV/0!</v>
      </c>
      <c r="W129" s="10"/>
      <c r="X129" s="10"/>
    </row>
    <row r="130" spans="1:24" ht="15.75" customHeight="1" x14ac:dyDescent="0.25">
      <c r="A130" s="6">
        <v>17</v>
      </c>
      <c r="B130" s="111" t="s">
        <v>136</v>
      </c>
      <c r="C130" s="8"/>
      <c r="D130" s="8"/>
      <c r="E130" s="8"/>
      <c r="F130" s="8"/>
      <c r="G130" s="8"/>
      <c r="H130" s="8"/>
      <c r="I130" s="13"/>
      <c r="J130" s="15" t="e">
        <f t="shared" si="10"/>
        <v>#DIV/0!</v>
      </c>
      <c r="K130" s="8"/>
      <c r="L130" s="8"/>
      <c r="M130" s="15" t="e">
        <f t="shared" si="11"/>
        <v>#DIV/0!</v>
      </c>
      <c r="N130" s="8"/>
      <c r="O130" s="8"/>
      <c r="P130" s="15" t="e">
        <f t="shared" si="12"/>
        <v>#DIV/0!</v>
      </c>
      <c r="Q130" s="10"/>
      <c r="R130" s="201" t="e">
        <f t="shared" si="13"/>
        <v>#DIV/0!</v>
      </c>
      <c r="S130" s="202"/>
      <c r="T130" s="202"/>
      <c r="U130" s="203"/>
      <c r="V130" s="14" t="e">
        <f t="shared" si="14"/>
        <v>#DIV/0!</v>
      </c>
      <c r="W130" s="10"/>
      <c r="X130" s="10"/>
    </row>
    <row r="131" spans="1:24" ht="15.75" customHeight="1" x14ac:dyDescent="0.25">
      <c r="A131" s="6">
        <v>18</v>
      </c>
      <c r="B131" s="111" t="s">
        <v>102</v>
      </c>
      <c r="C131" s="8"/>
      <c r="D131" s="8"/>
      <c r="E131" s="8"/>
      <c r="F131" s="8"/>
      <c r="G131" s="8"/>
      <c r="H131" s="8"/>
      <c r="I131" s="8"/>
      <c r="J131" s="15" t="e">
        <f t="shared" si="10"/>
        <v>#DIV/0!</v>
      </c>
      <c r="K131" s="8"/>
      <c r="L131" s="8"/>
      <c r="M131" s="15" t="e">
        <f t="shared" si="11"/>
        <v>#DIV/0!</v>
      </c>
      <c r="N131" s="8"/>
      <c r="O131" s="8"/>
      <c r="P131" s="15" t="e">
        <f t="shared" si="12"/>
        <v>#DIV/0!</v>
      </c>
      <c r="Q131" s="10"/>
      <c r="R131" s="201" t="e">
        <f t="shared" si="13"/>
        <v>#DIV/0!</v>
      </c>
      <c r="S131" s="202"/>
      <c r="T131" s="202"/>
      <c r="U131" s="203"/>
      <c r="V131" s="14" t="e">
        <f t="shared" si="14"/>
        <v>#DIV/0!</v>
      </c>
      <c r="W131" s="10"/>
      <c r="X131" s="10"/>
    </row>
    <row r="132" spans="1:24" ht="15.75" customHeight="1" x14ac:dyDescent="0.25">
      <c r="A132" s="6">
        <v>19</v>
      </c>
      <c r="B132" s="111" t="s">
        <v>137</v>
      </c>
      <c r="C132" s="8"/>
      <c r="D132" s="8"/>
      <c r="E132" s="8"/>
      <c r="F132" s="8"/>
      <c r="G132" s="8"/>
      <c r="H132" s="8"/>
      <c r="I132" s="8"/>
      <c r="J132" s="15" t="e">
        <f t="shared" si="10"/>
        <v>#DIV/0!</v>
      </c>
      <c r="K132" s="8"/>
      <c r="L132" s="8"/>
      <c r="M132" s="15" t="e">
        <f t="shared" si="11"/>
        <v>#DIV/0!</v>
      </c>
      <c r="N132" s="8"/>
      <c r="O132" s="8"/>
      <c r="P132" s="15" t="e">
        <f t="shared" si="12"/>
        <v>#DIV/0!</v>
      </c>
      <c r="Q132" s="10"/>
      <c r="R132" s="201" t="e">
        <f t="shared" si="13"/>
        <v>#DIV/0!</v>
      </c>
      <c r="S132" s="202"/>
      <c r="T132" s="202"/>
      <c r="U132" s="203"/>
      <c r="V132" s="14" t="e">
        <f t="shared" si="14"/>
        <v>#DIV/0!</v>
      </c>
      <c r="W132" s="10"/>
      <c r="X132" s="10"/>
    </row>
    <row r="133" spans="1:24" ht="15.75" customHeight="1" x14ac:dyDescent="0.25">
      <c r="A133" s="6">
        <v>20</v>
      </c>
      <c r="B133" s="111" t="s">
        <v>138</v>
      </c>
      <c r="C133" s="8"/>
      <c r="D133" s="8"/>
      <c r="E133" s="8"/>
      <c r="F133" s="8"/>
      <c r="G133" s="8"/>
      <c r="H133" s="8"/>
      <c r="I133" s="8"/>
      <c r="J133" s="15" t="e">
        <f t="shared" si="10"/>
        <v>#DIV/0!</v>
      </c>
      <c r="K133" s="8"/>
      <c r="L133" s="8"/>
      <c r="M133" s="15" t="e">
        <f t="shared" si="11"/>
        <v>#DIV/0!</v>
      </c>
      <c r="N133" s="8"/>
      <c r="O133" s="8"/>
      <c r="P133" s="15" t="e">
        <f t="shared" si="12"/>
        <v>#DIV/0!</v>
      </c>
      <c r="Q133" s="10"/>
      <c r="R133" s="201" t="e">
        <f t="shared" si="13"/>
        <v>#DIV/0!</v>
      </c>
      <c r="S133" s="202"/>
      <c r="T133" s="202"/>
      <c r="U133" s="203"/>
      <c r="V133" s="14" t="e">
        <f t="shared" si="14"/>
        <v>#DIV/0!</v>
      </c>
      <c r="W133" s="10"/>
      <c r="X133" s="10"/>
    </row>
    <row r="134" spans="1:24" ht="15.75" customHeight="1" x14ac:dyDescent="0.25">
      <c r="A134" s="6">
        <v>21</v>
      </c>
      <c r="B134" s="111" t="s">
        <v>85</v>
      </c>
      <c r="C134" s="8"/>
      <c r="D134" s="8"/>
      <c r="E134" s="8"/>
      <c r="F134" s="8"/>
      <c r="G134" s="8"/>
      <c r="H134" s="8"/>
      <c r="I134" s="8"/>
      <c r="J134" s="15" t="e">
        <f t="shared" si="10"/>
        <v>#DIV/0!</v>
      </c>
      <c r="K134" s="8"/>
      <c r="L134" s="8"/>
      <c r="M134" s="15" t="e">
        <f t="shared" si="11"/>
        <v>#DIV/0!</v>
      </c>
      <c r="N134" s="8"/>
      <c r="O134" s="8"/>
      <c r="P134" s="15" t="e">
        <f t="shared" si="12"/>
        <v>#DIV/0!</v>
      </c>
      <c r="Q134" s="10"/>
      <c r="R134" s="201" t="e">
        <f t="shared" si="13"/>
        <v>#DIV/0!</v>
      </c>
      <c r="S134" s="202"/>
      <c r="T134" s="202"/>
      <c r="U134" s="203"/>
      <c r="V134" s="14" t="e">
        <f t="shared" si="14"/>
        <v>#DIV/0!</v>
      </c>
      <c r="W134" s="10"/>
      <c r="X134" s="10"/>
    </row>
    <row r="135" spans="1:24" ht="15.75" customHeight="1" x14ac:dyDescent="0.25">
      <c r="A135" s="6">
        <v>22</v>
      </c>
      <c r="B135" s="111" t="s">
        <v>141</v>
      </c>
      <c r="C135" s="8"/>
      <c r="D135" s="8"/>
      <c r="E135" s="8"/>
      <c r="F135" s="8"/>
      <c r="G135" s="8"/>
      <c r="H135" s="8"/>
      <c r="I135" s="8"/>
      <c r="J135" s="15" t="e">
        <f t="shared" si="10"/>
        <v>#DIV/0!</v>
      </c>
      <c r="K135" s="8"/>
      <c r="L135" s="8"/>
      <c r="M135" s="15" t="e">
        <f t="shared" si="11"/>
        <v>#DIV/0!</v>
      </c>
      <c r="N135" s="8"/>
      <c r="O135" s="8"/>
      <c r="P135" s="15" t="e">
        <f t="shared" si="12"/>
        <v>#DIV/0!</v>
      </c>
      <c r="Q135" s="10"/>
      <c r="R135" s="201" t="e">
        <f t="shared" si="13"/>
        <v>#DIV/0!</v>
      </c>
      <c r="S135" s="202"/>
      <c r="T135" s="202"/>
      <c r="U135" s="203"/>
      <c r="V135" s="14" t="e">
        <f t="shared" si="14"/>
        <v>#DIV/0!</v>
      </c>
      <c r="W135" s="10"/>
      <c r="X135" s="10"/>
    </row>
    <row r="136" spans="1:24" ht="15.75" customHeight="1" x14ac:dyDescent="0.25">
      <c r="A136" s="6">
        <v>23</v>
      </c>
      <c r="B136" s="111" t="s">
        <v>105</v>
      </c>
      <c r="C136" s="8"/>
      <c r="D136" s="8"/>
      <c r="E136" s="8"/>
      <c r="F136" s="8"/>
      <c r="G136" s="8"/>
      <c r="H136" s="8"/>
      <c r="I136" s="8"/>
      <c r="J136" s="15" t="e">
        <f t="shared" si="10"/>
        <v>#DIV/0!</v>
      </c>
      <c r="K136" s="8"/>
      <c r="L136" s="8"/>
      <c r="M136" s="15" t="e">
        <f t="shared" si="11"/>
        <v>#DIV/0!</v>
      </c>
      <c r="N136" s="8"/>
      <c r="O136" s="8"/>
      <c r="P136" s="15" t="e">
        <f t="shared" si="12"/>
        <v>#DIV/0!</v>
      </c>
      <c r="Q136" s="10"/>
      <c r="R136" s="201" t="e">
        <f t="shared" si="13"/>
        <v>#DIV/0!</v>
      </c>
      <c r="S136" s="202"/>
      <c r="T136" s="202"/>
      <c r="U136" s="203"/>
      <c r="V136" s="14" t="e">
        <f t="shared" si="14"/>
        <v>#DIV/0!</v>
      </c>
      <c r="W136" s="10"/>
      <c r="X136" s="10"/>
    </row>
    <row r="137" spans="1:24" ht="15.75" customHeight="1" x14ac:dyDescent="0.25">
      <c r="A137" s="6">
        <v>24</v>
      </c>
      <c r="B137" s="111" t="s">
        <v>142</v>
      </c>
      <c r="C137" s="8"/>
      <c r="D137" s="8"/>
      <c r="E137" s="8"/>
      <c r="F137" s="8"/>
      <c r="G137" s="8"/>
      <c r="H137" s="8"/>
      <c r="I137" s="8"/>
      <c r="J137" s="15" t="e">
        <f t="shared" si="10"/>
        <v>#DIV/0!</v>
      </c>
      <c r="K137" s="8"/>
      <c r="L137" s="8"/>
      <c r="M137" s="15" t="e">
        <f t="shared" si="11"/>
        <v>#DIV/0!</v>
      </c>
      <c r="N137" s="8"/>
      <c r="O137" s="8"/>
      <c r="P137" s="15" t="e">
        <f t="shared" si="12"/>
        <v>#DIV/0!</v>
      </c>
      <c r="Q137" s="10"/>
      <c r="R137" s="201" t="e">
        <f t="shared" si="13"/>
        <v>#DIV/0!</v>
      </c>
      <c r="S137" s="202"/>
      <c r="T137" s="202"/>
      <c r="U137" s="203"/>
      <c r="V137" s="14" t="e">
        <f t="shared" si="14"/>
        <v>#DIV/0!</v>
      </c>
      <c r="W137" s="10"/>
      <c r="X137" s="10"/>
    </row>
    <row r="138" spans="1:24" ht="15.75" customHeight="1" x14ac:dyDescent="0.25">
      <c r="A138" s="6">
        <v>25</v>
      </c>
      <c r="B138" s="111" t="s">
        <v>120</v>
      </c>
      <c r="C138" s="8"/>
      <c r="D138" s="8"/>
      <c r="E138" s="8"/>
      <c r="F138" s="8"/>
      <c r="G138" s="8"/>
      <c r="H138" s="8"/>
      <c r="I138" s="8"/>
      <c r="J138" s="15" t="e">
        <f t="shared" si="10"/>
        <v>#DIV/0!</v>
      </c>
      <c r="K138" s="8"/>
      <c r="L138" s="8"/>
      <c r="M138" s="15" t="e">
        <f t="shared" si="11"/>
        <v>#DIV/0!</v>
      </c>
      <c r="N138" s="8"/>
      <c r="O138" s="8"/>
      <c r="P138" s="15" t="e">
        <f t="shared" si="12"/>
        <v>#DIV/0!</v>
      </c>
      <c r="Q138" s="10"/>
      <c r="R138" s="201" t="e">
        <f t="shared" si="13"/>
        <v>#DIV/0!</v>
      </c>
      <c r="S138" s="202"/>
      <c r="T138" s="202"/>
      <c r="U138" s="203"/>
      <c r="V138" s="14" t="e">
        <f t="shared" si="14"/>
        <v>#DIV/0!</v>
      </c>
      <c r="W138" s="10"/>
      <c r="X138" s="10"/>
    </row>
    <row r="139" spans="1:24" ht="15.75" customHeight="1" x14ac:dyDescent="0.25">
      <c r="A139" s="6">
        <v>26</v>
      </c>
      <c r="B139" s="111" t="s">
        <v>121</v>
      </c>
      <c r="C139" s="8"/>
      <c r="D139" s="8"/>
      <c r="E139" s="8"/>
      <c r="F139" s="8"/>
      <c r="G139" s="8"/>
      <c r="H139" s="8"/>
      <c r="I139" s="8"/>
      <c r="J139" s="15" t="e">
        <f t="shared" si="10"/>
        <v>#DIV/0!</v>
      </c>
      <c r="K139" s="8"/>
      <c r="L139" s="8"/>
      <c r="M139" s="15" t="e">
        <f t="shared" si="11"/>
        <v>#DIV/0!</v>
      </c>
      <c r="N139" s="8"/>
      <c r="O139" s="8"/>
      <c r="P139" s="15" t="e">
        <f t="shared" si="12"/>
        <v>#DIV/0!</v>
      </c>
      <c r="Q139" s="10"/>
      <c r="R139" s="201" t="e">
        <f t="shared" si="13"/>
        <v>#DIV/0!</v>
      </c>
      <c r="S139" s="202"/>
      <c r="T139" s="202"/>
      <c r="U139" s="203"/>
      <c r="V139" s="14" t="e">
        <f t="shared" si="14"/>
        <v>#DIV/0!</v>
      </c>
      <c r="W139" s="10"/>
      <c r="X139" s="10"/>
    </row>
    <row r="140" spans="1:24" ht="15.75" customHeight="1" x14ac:dyDescent="0.25">
      <c r="A140" s="6">
        <v>27</v>
      </c>
      <c r="B140" s="111" t="s">
        <v>53</v>
      </c>
      <c r="C140" s="8"/>
      <c r="D140" s="8"/>
      <c r="E140" s="8"/>
      <c r="F140" s="8"/>
      <c r="G140" s="8"/>
      <c r="H140" s="8"/>
      <c r="I140" s="8"/>
      <c r="J140" s="15" t="e">
        <f t="shared" si="10"/>
        <v>#DIV/0!</v>
      </c>
      <c r="K140" s="8"/>
      <c r="L140" s="8"/>
      <c r="M140" s="15" t="e">
        <f t="shared" si="11"/>
        <v>#DIV/0!</v>
      </c>
      <c r="N140" s="8"/>
      <c r="O140" s="8"/>
      <c r="P140" s="15" t="e">
        <f t="shared" si="12"/>
        <v>#DIV/0!</v>
      </c>
      <c r="Q140" s="10"/>
      <c r="R140" s="201" t="e">
        <f t="shared" si="13"/>
        <v>#DIV/0!</v>
      </c>
      <c r="S140" s="202"/>
      <c r="T140" s="202"/>
      <c r="U140" s="203"/>
      <c r="V140" s="14" t="e">
        <f t="shared" si="14"/>
        <v>#DIV/0!</v>
      </c>
      <c r="W140" s="10"/>
      <c r="X140" s="10"/>
    </row>
    <row r="141" spans="1:24" ht="15.75" customHeight="1" x14ac:dyDescent="0.25">
      <c r="A141" s="6">
        <v>28</v>
      </c>
      <c r="B141" s="111" t="s">
        <v>122</v>
      </c>
      <c r="C141" s="8"/>
      <c r="D141" s="8"/>
      <c r="E141" s="8"/>
      <c r="F141" s="8"/>
      <c r="G141" s="8"/>
      <c r="H141" s="8"/>
      <c r="I141" s="8"/>
      <c r="J141" s="15" t="e">
        <f t="shared" si="10"/>
        <v>#DIV/0!</v>
      </c>
      <c r="K141" s="8"/>
      <c r="L141" s="8"/>
      <c r="M141" s="15" t="e">
        <f t="shared" si="11"/>
        <v>#DIV/0!</v>
      </c>
      <c r="N141" s="8"/>
      <c r="O141" s="8"/>
      <c r="P141" s="15" t="e">
        <f t="shared" si="12"/>
        <v>#DIV/0!</v>
      </c>
      <c r="Q141" s="10"/>
      <c r="R141" s="201" t="e">
        <f t="shared" si="13"/>
        <v>#DIV/0!</v>
      </c>
      <c r="S141" s="202"/>
      <c r="T141" s="202"/>
      <c r="U141" s="203"/>
      <c r="V141" s="14" t="e">
        <f t="shared" si="14"/>
        <v>#DIV/0!</v>
      </c>
      <c r="W141" s="10"/>
      <c r="X141" s="10"/>
    </row>
    <row r="142" spans="1:24" ht="15.75" customHeight="1" x14ac:dyDescent="0.25">
      <c r="A142" s="6">
        <v>29</v>
      </c>
      <c r="B142" s="111" t="s">
        <v>143</v>
      </c>
      <c r="C142" s="8"/>
      <c r="D142" s="8"/>
      <c r="E142" s="8"/>
      <c r="F142" s="8"/>
      <c r="G142" s="8"/>
      <c r="H142" s="8"/>
      <c r="I142" s="8"/>
      <c r="J142" s="15" t="e">
        <f t="shared" si="10"/>
        <v>#DIV/0!</v>
      </c>
      <c r="K142" s="8"/>
      <c r="L142" s="8"/>
      <c r="M142" s="15" t="e">
        <f t="shared" si="11"/>
        <v>#DIV/0!</v>
      </c>
      <c r="N142" s="8"/>
      <c r="O142" s="8"/>
      <c r="P142" s="15" t="e">
        <f t="shared" si="12"/>
        <v>#DIV/0!</v>
      </c>
      <c r="Q142" s="10"/>
      <c r="R142" s="201" t="e">
        <f t="shared" si="13"/>
        <v>#DIV/0!</v>
      </c>
      <c r="S142" s="202"/>
      <c r="T142" s="202"/>
      <c r="U142" s="203"/>
      <c r="V142" s="14" t="e">
        <f t="shared" si="14"/>
        <v>#DIV/0!</v>
      </c>
      <c r="W142" s="10"/>
      <c r="X142" s="10"/>
    </row>
    <row r="143" spans="1:24" ht="15.75" customHeight="1" x14ac:dyDescent="0.25">
      <c r="A143" s="6">
        <v>30</v>
      </c>
      <c r="B143" s="111" t="s">
        <v>54</v>
      </c>
      <c r="C143" s="8"/>
      <c r="D143" s="8"/>
      <c r="E143" s="8"/>
      <c r="F143" s="8"/>
      <c r="G143" s="8"/>
      <c r="H143" s="8"/>
      <c r="I143" s="8"/>
      <c r="J143" s="15" t="e">
        <f t="shared" si="10"/>
        <v>#DIV/0!</v>
      </c>
      <c r="K143" s="8"/>
      <c r="L143" s="8"/>
      <c r="M143" s="15" t="e">
        <f t="shared" si="11"/>
        <v>#DIV/0!</v>
      </c>
      <c r="N143" s="8"/>
      <c r="O143" s="8"/>
      <c r="P143" s="15" t="e">
        <f t="shared" si="12"/>
        <v>#DIV/0!</v>
      </c>
      <c r="Q143" s="10"/>
      <c r="R143" s="201" t="e">
        <f t="shared" si="13"/>
        <v>#DIV/0!</v>
      </c>
      <c r="S143" s="202"/>
      <c r="T143" s="202"/>
      <c r="U143" s="203"/>
      <c r="V143" s="14" t="e">
        <f t="shared" si="14"/>
        <v>#DIV/0!</v>
      </c>
      <c r="W143" s="10"/>
      <c r="X143" s="10"/>
    </row>
    <row r="144" spans="1:24" ht="15.75" customHeight="1" x14ac:dyDescent="0.25">
      <c r="A144" s="6">
        <v>31</v>
      </c>
      <c r="B144" s="111" t="s">
        <v>547</v>
      </c>
      <c r="C144" s="8"/>
      <c r="D144" s="8"/>
      <c r="E144" s="8"/>
      <c r="F144" s="8"/>
      <c r="G144" s="8"/>
      <c r="H144" s="8"/>
      <c r="I144" s="8"/>
      <c r="J144" s="15" t="e">
        <f t="shared" si="10"/>
        <v>#DIV/0!</v>
      </c>
      <c r="K144" s="8"/>
      <c r="L144" s="8"/>
      <c r="M144" s="15" t="e">
        <f t="shared" si="11"/>
        <v>#DIV/0!</v>
      </c>
      <c r="N144" s="8"/>
      <c r="O144" s="8"/>
      <c r="P144" s="15" t="e">
        <f t="shared" si="12"/>
        <v>#DIV/0!</v>
      </c>
      <c r="Q144" s="10"/>
      <c r="R144" s="201" t="e">
        <f t="shared" si="13"/>
        <v>#DIV/0!</v>
      </c>
      <c r="S144" s="202"/>
      <c r="T144" s="202"/>
      <c r="U144" s="203"/>
      <c r="V144" s="14" t="e">
        <f t="shared" si="14"/>
        <v>#DIV/0!</v>
      </c>
      <c r="W144" s="10"/>
      <c r="X144" s="10"/>
    </row>
    <row r="145" spans="1:24" ht="15.75" customHeight="1" x14ac:dyDescent="0.25">
      <c r="A145" s="6">
        <v>32</v>
      </c>
      <c r="B145" s="111" t="s">
        <v>123</v>
      </c>
      <c r="C145" s="8"/>
      <c r="D145" s="8"/>
      <c r="E145" s="8"/>
      <c r="F145" s="8"/>
      <c r="G145" s="8"/>
      <c r="H145" s="8"/>
      <c r="I145" s="8"/>
      <c r="J145" s="15" t="e">
        <f t="shared" si="10"/>
        <v>#DIV/0!</v>
      </c>
      <c r="K145" s="8"/>
      <c r="L145" s="8"/>
      <c r="M145" s="15" t="e">
        <f t="shared" si="11"/>
        <v>#DIV/0!</v>
      </c>
      <c r="N145" s="8"/>
      <c r="O145" s="8"/>
      <c r="P145" s="15" t="e">
        <f t="shared" si="12"/>
        <v>#DIV/0!</v>
      </c>
      <c r="Q145" s="10"/>
      <c r="R145" s="201" t="e">
        <f t="shared" si="13"/>
        <v>#DIV/0!</v>
      </c>
      <c r="S145" s="202"/>
      <c r="T145" s="202"/>
      <c r="U145" s="203"/>
      <c r="V145" s="14" t="e">
        <f t="shared" si="14"/>
        <v>#DIV/0!</v>
      </c>
      <c r="W145" s="10"/>
      <c r="X145" s="10"/>
    </row>
    <row r="146" spans="1:24" ht="15.75" customHeight="1" x14ac:dyDescent="0.25">
      <c r="A146" s="6">
        <v>33</v>
      </c>
      <c r="B146" s="111"/>
      <c r="C146" s="8"/>
      <c r="D146" s="8"/>
      <c r="E146" s="8"/>
      <c r="F146" s="8"/>
      <c r="G146" s="8"/>
      <c r="H146" s="8"/>
      <c r="I146" s="8"/>
      <c r="J146" s="15" t="e">
        <f t="shared" si="10"/>
        <v>#DIV/0!</v>
      </c>
      <c r="K146" s="8"/>
      <c r="L146" s="8"/>
      <c r="M146" s="15" t="e">
        <f t="shared" si="11"/>
        <v>#DIV/0!</v>
      </c>
      <c r="N146" s="8"/>
      <c r="O146" s="8"/>
      <c r="P146" s="15" t="e">
        <f t="shared" si="12"/>
        <v>#DIV/0!</v>
      </c>
      <c r="Q146" s="10"/>
      <c r="R146" s="201" t="e">
        <f t="shared" si="13"/>
        <v>#DIV/0!</v>
      </c>
      <c r="S146" s="202"/>
      <c r="T146" s="202"/>
      <c r="U146" s="203"/>
      <c r="V146" s="14" t="e">
        <f t="shared" si="14"/>
        <v>#DIV/0!</v>
      </c>
      <c r="W146" s="10"/>
      <c r="X146" s="10"/>
    </row>
    <row r="147" spans="1:24" ht="15.75" customHeight="1" x14ac:dyDescent="0.25">
      <c r="A147" s="6">
        <v>34</v>
      </c>
      <c r="B147" s="111"/>
      <c r="C147" s="8"/>
      <c r="D147" s="8"/>
      <c r="E147" s="8"/>
      <c r="F147" s="8"/>
      <c r="G147" s="8"/>
      <c r="H147" s="8"/>
      <c r="I147" s="8"/>
      <c r="J147" s="15" t="e">
        <f t="shared" si="10"/>
        <v>#DIV/0!</v>
      </c>
      <c r="K147" s="8"/>
      <c r="L147" s="8"/>
      <c r="M147" s="15" t="e">
        <f t="shared" si="11"/>
        <v>#DIV/0!</v>
      </c>
      <c r="N147" s="8"/>
      <c r="O147" s="8"/>
      <c r="P147" s="15" t="e">
        <f t="shared" si="12"/>
        <v>#DIV/0!</v>
      </c>
      <c r="Q147" s="10"/>
      <c r="R147" s="201" t="e">
        <f t="shared" si="13"/>
        <v>#DIV/0!</v>
      </c>
      <c r="S147" s="202"/>
      <c r="T147" s="202"/>
      <c r="U147" s="203"/>
      <c r="V147" s="14" t="e">
        <f t="shared" si="14"/>
        <v>#DIV/0!</v>
      </c>
      <c r="W147" s="10"/>
      <c r="X147" s="10"/>
    </row>
    <row r="148" spans="1:24" ht="15.75" customHeight="1" x14ac:dyDescent="0.25">
      <c r="A148" s="6">
        <v>35</v>
      </c>
      <c r="B148" s="112"/>
      <c r="C148" s="13"/>
      <c r="D148" s="13"/>
      <c r="E148" s="13"/>
      <c r="F148" s="8"/>
      <c r="G148" s="8"/>
      <c r="H148" s="8"/>
      <c r="I148" s="8"/>
      <c r="J148" s="15" t="e">
        <f t="shared" si="10"/>
        <v>#DIV/0!</v>
      </c>
      <c r="K148" s="8"/>
      <c r="L148" s="8"/>
      <c r="M148" s="15" t="e">
        <f t="shared" si="11"/>
        <v>#DIV/0!</v>
      </c>
      <c r="N148" s="8"/>
      <c r="O148" s="8"/>
      <c r="P148" s="15" t="e">
        <f t="shared" si="12"/>
        <v>#DIV/0!</v>
      </c>
      <c r="Q148" s="10"/>
      <c r="R148" s="201" t="e">
        <f t="shared" si="13"/>
        <v>#DIV/0!</v>
      </c>
      <c r="S148" s="202"/>
      <c r="T148" s="202"/>
      <c r="U148" s="203"/>
      <c r="V148" s="14" t="e">
        <f t="shared" si="14"/>
        <v>#DIV/0!</v>
      </c>
      <c r="W148" s="10"/>
      <c r="X148" s="10"/>
    </row>
    <row r="149" spans="1:24" ht="15.75" customHeight="1" x14ac:dyDescent="0.25">
      <c r="A149" s="6">
        <v>36</v>
      </c>
      <c r="B149" s="162"/>
      <c r="C149" s="160"/>
      <c r="D149" s="160"/>
      <c r="E149" s="160"/>
      <c r="F149" s="26"/>
      <c r="G149" s="8"/>
      <c r="H149" s="8"/>
      <c r="I149" s="8"/>
      <c r="J149" s="15" t="e">
        <f t="shared" si="10"/>
        <v>#DIV/0!</v>
      </c>
      <c r="K149" s="8"/>
      <c r="L149" s="8"/>
      <c r="M149" s="15" t="e">
        <f t="shared" si="11"/>
        <v>#DIV/0!</v>
      </c>
      <c r="N149" s="8"/>
      <c r="O149" s="8"/>
      <c r="P149" s="15" t="e">
        <f t="shared" si="12"/>
        <v>#DIV/0!</v>
      </c>
      <c r="Q149" s="10"/>
      <c r="R149" s="201" t="e">
        <f t="shared" si="13"/>
        <v>#DIV/0!</v>
      </c>
      <c r="S149" s="202"/>
      <c r="T149" s="202"/>
      <c r="U149" s="203"/>
      <c r="V149" s="14" t="e">
        <f t="shared" si="14"/>
        <v>#DIV/0!</v>
      </c>
      <c r="W149" s="10"/>
      <c r="X149" s="10"/>
    </row>
    <row r="150" spans="1:24" ht="15.75" customHeight="1" x14ac:dyDescent="0.25">
      <c r="A150" s="6">
        <v>37</v>
      </c>
      <c r="B150" s="104"/>
      <c r="C150" s="9"/>
      <c r="D150" s="9"/>
      <c r="E150" s="9"/>
      <c r="F150" s="8"/>
      <c r="G150" s="8"/>
      <c r="H150" s="8"/>
      <c r="I150" s="8"/>
      <c r="J150" s="15" t="e">
        <f t="shared" si="10"/>
        <v>#DIV/0!</v>
      </c>
      <c r="K150" s="8"/>
      <c r="L150" s="8"/>
      <c r="M150" s="15" t="e">
        <f t="shared" si="11"/>
        <v>#DIV/0!</v>
      </c>
      <c r="N150" s="8"/>
      <c r="O150" s="8"/>
      <c r="P150" s="15" t="e">
        <f t="shared" si="12"/>
        <v>#DIV/0!</v>
      </c>
      <c r="Q150" s="10"/>
      <c r="R150" s="201" t="e">
        <f t="shared" si="13"/>
        <v>#DIV/0!</v>
      </c>
      <c r="S150" s="202"/>
      <c r="T150" s="202"/>
      <c r="U150" s="203"/>
      <c r="V150" s="14" t="e">
        <f t="shared" si="14"/>
        <v>#DIV/0!</v>
      </c>
      <c r="W150" s="10"/>
      <c r="X150" s="10"/>
    </row>
    <row r="151" spans="1:24" ht="15.75" customHeight="1" x14ac:dyDescent="0.25">
      <c r="A151" s="6">
        <v>38</v>
      </c>
      <c r="B151" s="104"/>
      <c r="C151" s="8"/>
      <c r="D151" s="8"/>
      <c r="E151" s="8"/>
      <c r="F151" s="8"/>
      <c r="G151" s="8"/>
      <c r="H151" s="8"/>
      <c r="I151" s="8"/>
      <c r="J151" s="15" t="e">
        <f t="shared" si="10"/>
        <v>#DIV/0!</v>
      </c>
      <c r="K151" s="8"/>
      <c r="L151" s="8"/>
      <c r="M151" s="15" t="e">
        <f t="shared" si="11"/>
        <v>#DIV/0!</v>
      </c>
      <c r="N151" s="8"/>
      <c r="O151" s="8"/>
      <c r="P151" s="15" t="e">
        <f t="shared" si="12"/>
        <v>#DIV/0!</v>
      </c>
      <c r="Q151" s="10"/>
      <c r="R151" s="201" t="e">
        <f t="shared" si="13"/>
        <v>#DIV/0!</v>
      </c>
      <c r="S151" s="202"/>
      <c r="T151" s="202"/>
      <c r="U151" s="203"/>
      <c r="V151" s="14" t="e">
        <f t="shared" si="14"/>
        <v>#DIV/0!</v>
      </c>
      <c r="W151" s="10"/>
      <c r="X151" s="10"/>
    </row>
    <row r="152" spans="1:24" ht="15.75" customHeight="1" x14ac:dyDescent="0.25">
      <c r="A152" s="6">
        <v>39</v>
      </c>
      <c r="B152" s="90"/>
      <c r="C152" s="8"/>
      <c r="D152" s="8"/>
      <c r="E152" s="8"/>
      <c r="F152" s="8"/>
      <c r="G152" s="8"/>
      <c r="H152" s="8"/>
      <c r="I152" s="8"/>
      <c r="J152" s="15" t="e">
        <f t="shared" si="10"/>
        <v>#DIV/0!</v>
      </c>
      <c r="K152" s="8"/>
      <c r="L152" s="8"/>
      <c r="M152" s="15" t="e">
        <f t="shared" si="11"/>
        <v>#DIV/0!</v>
      </c>
      <c r="N152" s="8"/>
      <c r="O152" s="8"/>
      <c r="P152" s="15" t="e">
        <f t="shared" si="12"/>
        <v>#DIV/0!</v>
      </c>
      <c r="Q152" s="10"/>
      <c r="R152" s="201" t="e">
        <f t="shared" si="13"/>
        <v>#DIV/0!</v>
      </c>
      <c r="S152" s="202"/>
      <c r="T152" s="202"/>
      <c r="U152" s="203"/>
      <c r="V152" s="14" t="e">
        <f t="shared" si="14"/>
        <v>#DIV/0!</v>
      </c>
      <c r="W152" s="10"/>
      <c r="X152" s="10"/>
    </row>
    <row r="153" spans="1:24" ht="15.75" customHeight="1" x14ac:dyDescent="0.25">
      <c r="A153" s="6">
        <v>40</v>
      </c>
      <c r="B153" s="105"/>
      <c r="C153" s="8"/>
      <c r="D153" s="8"/>
      <c r="E153" s="8"/>
      <c r="F153" s="8"/>
      <c r="G153" s="8"/>
      <c r="H153" s="8"/>
      <c r="I153" s="8"/>
      <c r="J153" s="15" t="e">
        <f t="shared" si="10"/>
        <v>#DIV/0!</v>
      </c>
      <c r="K153" s="8"/>
      <c r="L153" s="8"/>
      <c r="M153" s="15" t="e">
        <f t="shared" si="11"/>
        <v>#DIV/0!</v>
      </c>
      <c r="N153" s="8"/>
      <c r="O153" s="8"/>
      <c r="P153" s="15" t="e">
        <f t="shared" si="12"/>
        <v>#DIV/0!</v>
      </c>
      <c r="Q153" s="10"/>
      <c r="R153" s="201" t="e">
        <f t="shared" si="13"/>
        <v>#DIV/0!</v>
      </c>
      <c r="S153" s="202"/>
      <c r="T153" s="202"/>
      <c r="U153" s="203"/>
      <c r="V153" s="14" t="e">
        <f t="shared" si="14"/>
        <v>#DIV/0!</v>
      </c>
      <c r="W153" s="10"/>
      <c r="X153" s="10"/>
    </row>
    <row r="154" spans="1:24" ht="15.75" customHeight="1" x14ac:dyDescent="0.25">
      <c r="A154" s="6">
        <v>41</v>
      </c>
      <c r="B154" s="105"/>
      <c r="C154" s="8"/>
      <c r="D154" s="8"/>
      <c r="E154" s="8"/>
      <c r="F154" s="8"/>
      <c r="G154" s="8"/>
      <c r="H154" s="8"/>
      <c r="I154" s="8"/>
      <c r="J154" s="15" t="e">
        <f t="shared" si="10"/>
        <v>#DIV/0!</v>
      </c>
      <c r="K154" s="8"/>
      <c r="L154" s="8"/>
      <c r="M154" s="15" t="e">
        <f t="shared" si="11"/>
        <v>#DIV/0!</v>
      </c>
      <c r="N154" s="8"/>
      <c r="O154" s="8"/>
      <c r="P154" s="15" t="e">
        <f t="shared" si="12"/>
        <v>#DIV/0!</v>
      </c>
      <c r="Q154" s="10"/>
      <c r="R154" s="201" t="e">
        <f t="shared" si="13"/>
        <v>#DIV/0!</v>
      </c>
      <c r="S154" s="202"/>
      <c r="T154" s="202"/>
      <c r="U154" s="203"/>
      <c r="V154" s="14" t="e">
        <f t="shared" si="14"/>
        <v>#DIV/0!</v>
      </c>
      <c r="W154" s="10"/>
      <c r="X154" s="10"/>
    </row>
    <row r="155" spans="1:24" ht="15.75" customHeight="1" x14ac:dyDescent="0.25">
      <c r="A155" s="6">
        <v>42</v>
      </c>
      <c r="B155" s="105"/>
      <c r="C155" s="8"/>
      <c r="D155" s="8"/>
      <c r="E155" s="8"/>
      <c r="F155" s="8"/>
      <c r="G155" s="8"/>
      <c r="H155" s="8"/>
      <c r="I155" s="8"/>
      <c r="J155" s="15" t="e">
        <f t="shared" si="10"/>
        <v>#DIV/0!</v>
      </c>
      <c r="K155" s="8"/>
      <c r="L155" s="8"/>
      <c r="M155" s="15" t="e">
        <f t="shared" si="11"/>
        <v>#DIV/0!</v>
      </c>
      <c r="N155" s="8"/>
      <c r="O155" s="8"/>
      <c r="P155" s="15" t="e">
        <f t="shared" si="12"/>
        <v>#DIV/0!</v>
      </c>
      <c r="Q155" s="10"/>
      <c r="R155" s="201" t="e">
        <f t="shared" si="13"/>
        <v>#DIV/0!</v>
      </c>
      <c r="S155" s="202"/>
      <c r="T155" s="202"/>
      <c r="U155" s="203"/>
      <c r="V155" s="14" t="e">
        <f t="shared" si="14"/>
        <v>#DIV/0!</v>
      </c>
      <c r="W155" s="10"/>
      <c r="X155" s="10"/>
    </row>
    <row r="156" spans="1:24" ht="15.75" customHeight="1" x14ac:dyDescent="0.25">
      <c r="A156" s="6">
        <v>43</v>
      </c>
      <c r="B156" s="105"/>
      <c r="C156" s="8"/>
      <c r="D156" s="8"/>
      <c r="E156" s="8"/>
      <c r="F156" s="8"/>
      <c r="G156" s="8"/>
      <c r="H156" s="8"/>
      <c r="I156" s="8"/>
      <c r="J156" s="15" t="e">
        <f t="shared" si="10"/>
        <v>#DIV/0!</v>
      </c>
      <c r="K156" s="8"/>
      <c r="L156" s="8"/>
      <c r="M156" s="15" t="e">
        <f t="shared" si="11"/>
        <v>#DIV/0!</v>
      </c>
      <c r="N156" s="8"/>
      <c r="O156" s="8"/>
      <c r="P156" s="15" t="e">
        <f t="shared" si="12"/>
        <v>#DIV/0!</v>
      </c>
      <c r="Q156" s="10"/>
      <c r="R156" s="201" t="e">
        <f t="shared" si="13"/>
        <v>#DIV/0!</v>
      </c>
      <c r="S156" s="202"/>
      <c r="T156" s="202"/>
      <c r="U156" s="203"/>
      <c r="V156" s="14" t="e">
        <f t="shared" si="14"/>
        <v>#DIV/0!</v>
      </c>
      <c r="W156" s="10"/>
      <c r="X156" s="10"/>
    </row>
    <row r="157" spans="1:24" ht="15.75" customHeight="1" x14ac:dyDescent="0.25">
      <c r="A157" s="6">
        <v>44</v>
      </c>
      <c r="B157" s="105"/>
      <c r="C157" s="8"/>
      <c r="D157" s="8"/>
      <c r="E157" s="8"/>
      <c r="F157" s="8"/>
      <c r="G157" s="8"/>
      <c r="H157" s="8"/>
      <c r="I157" s="8"/>
      <c r="J157" s="15" t="e">
        <f t="shared" si="10"/>
        <v>#DIV/0!</v>
      </c>
      <c r="K157" s="8"/>
      <c r="L157" s="8"/>
      <c r="M157" s="15" t="e">
        <f t="shared" si="11"/>
        <v>#DIV/0!</v>
      </c>
      <c r="N157" s="8"/>
      <c r="O157" s="8"/>
      <c r="P157" s="15" t="e">
        <f t="shared" si="12"/>
        <v>#DIV/0!</v>
      </c>
      <c r="Q157" s="10"/>
      <c r="R157" s="201" t="e">
        <f t="shared" si="13"/>
        <v>#DIV/0!</v>
      </c>
      <c r="S157" s="202"/>
      <c r="T157" s="202"/>
      <c r="U157" s="203"/>
      <c r="V157" s="14" t="e">
        <f t="shared" si="14"/>
        <v>#DIV/0!</v>
      </c>
      <c r="W157" s="10"/>
      <c r="X157" s="10"/>
    </row>
    <row r="158" spans="1:24" ht="15.75" customHeight="1" x14ac:dyDescent="0.25">
      <c r="A158" s="6">
        <v>45</v>
      </c>
      <c r="B158" s="105"/>
      <c r="C158" s="8"/>
      <c r="D158" s="8"/>
      <c r="E158" s="8"/>
      <c r="F158" s="8"/>
      <c r="G158" s="8"/>
      <c r="H158" s="8"/>
      <c r="I158" s="8"/>
      <c r="J158" s="15" t="e">
        <f t="shared" si="10"/>
        <v>#DIV/0!</v>
      </c>
      <c r="K158" s="8"/>
      <c r="L158" s="8"/>
      <c r="M158" s="15" t="e">
        <f t="shared" si="11"/>
        <v>#DIV/0!</v>
      </c>
      <c r="N158" s="8"/>
      <c r="O158" s="8"/>
      <c r="P158" s="15" t="e">
        <f t="shared" si="12"/>
        <v>#DIV/0!</v>
      </c>
      <c r="Q158" s="10"/>
      <c r="R158" s="201" t="e">
        <f t="shared" si="13"/>
        <v>#DIV/0!</v>
      </c>
      <c r="S158" s="202"/>
      <c r="T158" s="202"/>
      <c r="U158" s="203"/>
      <c r="V158" s="14" t="e">
        <f t="shared" si="14"/>
        <v>#DIV/0!</v>
      </c>
      <c r="W158" s="10"/>
      <c r="X158" s="10"/>
    </row>
    <row r="159" spans="1:24" ht="15.75" customHeight="1" thickBot="1" x14ac:dyDescent="0.3">
      <c r="A159" s="16">
        <v>46</v>
      </c>
      <c r="B159" s="106"/>
      <c r="C159" s="13"/>
      <c r="D159" s="13"/>
      <c r="E159" s="13"/>
      <c r="F159" s="13"/>
      <c r="G159" s="13"/>
      <c r="H159" s="13"/>
      <c r="I159" s="13"/>
      <c r="J159" s="15" t="e">
        <f t="shared" si="10"/>
        <v>#DIV/0!</v>
      </c>
      <c r="K159" s="13"/>
      <c r="L159" s="13"/>
      <c r="M159" s="18" t="e">
        <f t="shared" si="11"/>
        <v>#DIV/0!</v>
      </c>
      <c r="N159" s="13"/>
      <c r="O159" s="13"/>
      <c r="P159" s="18" t="e">
        <f t="shared" si="12"/>
        <v>#DIV/0!</v>
      </c>
      <c r="Q159" s="19"/>
      <c r="R159" s="274" t="e">
        <f t="shared" si="13"/>
        <v>#DIV/0!</v>
      </c>
      <c r="S159" s="275"/>
      <c r="T159" s="275"/>
      <c r="U159" s="276"/>
      <c r="V159" s="20" t="e">
        <f t="shared" si="14"/>
        <v>#DIV/0!</v>
      </c>
      <c r="W159" s="10"/>
      <c r="X159" s="10"/>
    </row>
    <row r="160" spans="1:24" ht="15.75" customHeight="1" x14ac:dyDescent="0.25">
      <c r="A160" s="263"/>
      <c r="B160" s="301"/>
      <c r="C160" s="257"/>
      <c r="D160" s="257"/>
      <c r="E160" s="267"/>
      <c r="F160" s="270"/>
      <c r="G160" s="270"/>
      <c r="H160" s="270"/>
      <c r="I160" s="270"/>
      <c r="J160" s="272"/>
      <c r="K160" s="272"/>
      <c r="L160" s="257"/>
      <c r="M160" s="259"/>
      <c r="N160" s="259"/>
      <c r="O160" s="259"/>
      <c r="P160" s="259"/>
      <c r="Q160" s="261"/>
      <c r="R160" s="277"/>
      <c r="S160" s="278"/>
      <c r="T160" s="279"/>
      <c r="U160" s="283"/>
      <c r="V160" s="284"/>
      <c r="W160" s="255"/>
      <c r="X160" s="181"/>
    </row>
    <row r="161" spans="1:24" ht="15.75" customHeight="1" x14ac:dyDescent="0.25">
      <c r="A161" s="264"/>
      <c r="B161" s="302"/>
      <c r="C161" s="205"/>
      <c r="D161" s="205"/>
      <c r="E161" s="210"/>
      <c r="F161" s="211"/>
      <c r="G161" s="211"/>
      <c r="H161" s="211"/>
      <c r="I161" s="211"/>
      <c r="J161" s="204"/>
      <c r="K161" s="204"/>
      <c r="L161" s="205"/>
      <c r="M161" s="185"/>
      <c r="N161" s="185"/>
      <c r="O161" s="185"/>
      <c r="P161" s="185"/>
      <c r="Q161" s="187"/>
      <c r="R161" s="188"/>
      <c r="S161" s="189"/>
      <c r="T161" s="190"/>
      <c r="U161" s="194"/>
      <c r="V161" s="285"/>
      <c r="W161" s="255"/>
      <c r="X161" s="181"/>
    </row>
    <row r="162" spans="1:24" ht="15.75" customHeight="1" x14ac:dyDescent="0.25">
      <c r="A162" s="264"/>
      <c r="B162" s="303"/>
      <c r="C162" s="205"/>
      <c r="D162" s="205"/>
      <c r="E162" s="210"/>
      <c r="F162" s="211"/>
      <c r="G162" s="211"/>
      <c r="H162" s="211"/>
      <c r="I162" s="211"/>
      <c r="J162" s="204"/>
      <c r="K162" s="204"/>
      <c r="L162" s="205"/>
      <c r="M162" s="185"/>
      <c r="N162" s="185"/>
      <c r="O162" s="185"/>
      <c r="P162" s="185"/>
      <c r="Q162" s="187"/>
      <c r="R162" s="188"/>
      <c r="S162" s="189"/>
      <c r="T162" s="190"/>
      <c r="U162" s="194"/>
      <c r="V162" s="285"/>
      <c r="W162" s="255"/>
      <c r="X162" s="181"/>
    </row>
    <row r="163" spans="1:24" ht="15.75" customHeight="1" thickBot="1" x14ac:dyDescent="0.3">
      <c r="A163" s="265"/>
      <c r="B163" s="304"/>
      <c r="C163" s="258"/>
      <c r="D163" s="258"/>
      <c r="E163" s="268"/>
      <c r="F163" s="271"/>
      <c r="G163" s="271"/>
      <c r="H163" s="271"/>
      <c r="I163" s="271"/>
      <c r="J163" s="273"/>
      <c r="K163" s="273"/>
      <c r="L163" s="258"/>
      <c r="M163" s="260"/>
      <c r="N163" s="260"/>
      <c r="O163" s="260"/>
      <c r="P163" s="260"/>
      <c r="Q163" s="262"/>
      <c r="R163" s="280"/>
      <c r="S163" s="281"/>
      <c r="T163" s="282"/>
      <c r="U163" s="286"/>
      <c r="V163" s="287"/>
      <c r="W163" s="256"/>
      <c r="X163" s="182"/>
    </row>
    <row r="164" spans="1:24" ht="15.75" customHeight="1" x14ac:dyDescent="0.25"/>
    <row r="165" spans="1:24" ht="15.75" customHeight="1" x14ac:dyDescent="0.25"/>
    <row r="166" spans="1:24" ht="15.75" customHeight="1" x14ac:dyDescent="0.25"/>
    <row r="167" spans="1:24" ht="15.75" customHeight="1" x14ac:dyDescent="0.25"/>
    <row r="168" spans="1:24" ht="15.75" customHeight="1" x14ac:dyDescent="0.25"/>
    <row r="169" spans="1:24" ht="15.75" customHeight="1" x14ac:dyDescent="0.25"/>
    <row r="170" spans="1:24" ht="15.75" customHeight="1" x14ac:dyDescent="0.25"/>
    <row r="171" spans="1:24" ht="15.75" customHeight="1" x14ac:dyDescent="0.25"/>
    <row r="172" spans="1:24" ht="15.75" customHeight="1" x14ac:dyDescent="0.25"/>
    <row r="173" spans="1:24" ht="15.75" customHeight="1" x14ac:dyDescent="0.25"/>
    <row r="174" spans="1:24" ht="15.75" customHeight="1" x14ac:dyDescent="0.25"/>
    <row r="175" spans="1:24" ht="15.75" customHeight="1" x14ac:dyDescent="0.25"/>
    <row r="176" spans="1:24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</sheetData>
  <sheetProtection algorithmName="SHA-512" hashValue="j0O1JeyFycTnbq6jbHD2QuhnGvtvy0a1f80Araw/ObgPj8CzQhceieMVGjdd2EzRw6OdWYVpI7ssiU5W6JkbOg==" saltValue="kV1Iaei8dpXvvmr4P1Mfeg==" spinCount="100000" sheet="1" objects="1" scenarios="1"/>
  <mergeCells count="270">
    <mergeCell ref="W160:W163"/>
    <mergeCell ref="X160:X163"/>
    <mergeCell ref="B162:B163"/>
    <mergeCell ref="A109:P109"/>
    <mergeCell ref="Q109:X109"/>
    <mergeCell ref="L160:L163"/>
    <mergeCell ref="M160:M163"/>
    <mergeCell ref="N160:N163"/>
    <mergeCell ref="O160:O163"/>
    <mergeCell ref="P160:P163"/>
    <mergeCell ref="Q160:Q163"/>
    <mergeCell ref="F160:F163"/>
    <mergeCell ref="G160:G163"/>
    <mergeCell ref="H160:H163"/>
    <mergeCell ref="I160:I163"/>
    <mergeCell ref="J160:J163"/>
    <mergeCell ref="K160:K163"/>
    <mergeCell ref="R155:U155"/>
    <mergeCell ref="R156:U156"/>
    <mergeCell ref="R157:U157"/>
    <mergeCell ref="R158:U158"/>
    <mergeCell ref="R159:U159"/>
    <mergeCell ref="A160:A163"/>
    <mergeCell ref="B160:B161"/>
    <mergeCell ref="C160:C163"/>
    <mergeCell ref="D160:D163"/>
    <mergeCell ref="E160:E163"/>
    <mergeCell ref="R149:U149"/>
    <mergeCell ref="R150:U150"/>
    <mergeCell ref="R151:U151"/>
    <mergeCell ref="R152:U152"/>
    <mergeCell ref="R153:U153"/>
    <mergeCell ref="R154:U154"/>
    <mergeCell ref="R160:T163"/>
    <mergeCell ref="U160:V163"/>
    <mergeCell ref="R143:U143"/>
    <mergeCell ref="R144:U144"/>
    <mergeCell ref="R145:U145"/>
    <mergeCell ref="R146:U146"/>
    <mergeCell ref="R147:U147"/>
    <mergeCell ref="R148:U148"/>
    <mergeCell ref="R137:U137"/>
    <mergeCell ref="R138:U138"/>
    <mergeCell ref="R139:U139"/>
    <mergeCell ref="R140:U140"/>
    <mergeCell ref="R141:U141"/>
    <mergeCell ref="R142:U142"/>
    <mergeCell ref="R131:U131"/>
    <mergeCell ref="R132:U132"/>
    <mergeCell ref="R133:U133"/>
    <mergeCell ref="R134:U134"/>
    <mergeCell ref="R135:U135"/>
    <mergeCell ref="R136:U136"/>
    <mergeCell ref="R125:U125"/>
    <mergeCell ref="R126:U126"/>
    <mergeCell ref="R127:U127"/>
    <mergeCell ref="R128:U128"/>
    <mergeCell ref="R129:U129"/>
    <mergeCell ref="R130:U130"/>
    <mergeCell ref="R119:U119"/>
    <mergeCell ref="R120:U120"/>
    <mergeCell ref="R121:U121"/>
    <mergeCell ref="R122:U122"/>
    <mergeCell ref="R123:U123"/>
    <mergeCell ref="R124:U124"/>
    <mergeCell ref="R113:U113"/>
    <mergeCell ref="R114:U114"/>
    <mergeCell ref="R115:U115"/>
    <mergeCell ref="R116:U116"/>
    <mergeCell ref="R117:U117"/>
    <mergeCell ref="R118:U118"/>
    <mergeCell ref="A110:B110"/>
    <mergeCell ref="C110:I110"/>
    <mergeCell ref="J110:Q110"/>
    <mergeCell ref="R110:X110"/>
    <mergeCell ref="A111:A113"/>
    <mergeCell ref="B111:B113"/>
    <mergeCell ref="C111:J111"/>
    <mergeCell ref="K111:M112"/>
    <mergeCell ref="N111:P112"/>
    <mergeCell ref="Q111:Q113"/>
    <mergeCell ref="R111:V112"/>
    <mergeCell ref="W111:X112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W104:W107"/>
    <mergeCell ref="X104:X107"/>
    <mergeCell ref="B106:B107"/>
    <mergeCell ref="L104:L107"/>
    <mergeCell ref="M104:M107"/>
    <mergeCell ref="N104:N107"/>
    <mergeCell ref="O104:O107"/>
    <mergeCell ref="P104:P107"/>
    <mergeCell ref="Q104:Q107"/>
    <mergeCell ref="F104:F107"/>
    <mergeCell ref="G104:G107"/>
    <mergeCell ref="H104:H107"/>
    <mergeCell ref="I104:I107"/>
    <mergeCell ref="J104:J107"/>
    <mergeCell ref="K104:K107"/>
    <mergeCell ref="R102:U102"/>
    <mergeCell ref="R103:U103"/>
    <mergeCell ref="A104:A107"/>
    <mergeCell ref="B104:B105"/>
    <mergeCell ref="C104:C107"/>
    <mergeCell ref="D104:D107"/>
    <mergeCell ref="E104:E107"/>
    <mergeCell ref="R104:T107"/>
    <mergeCell ref="U104:V107"/>
    <mergeCell ref="R96:U96"/>
    <mergeCell ref="R97:U97"/>
    <mergeCell ref="R98:U98"/>
    <mergeCell ref="R99:U99"/>
    <mergeCell ref="R100:U100"/>
    <mergeCell ref="R101:U101"/>
    <mergeCell ref="R90:U90"/>
    <mergeCell ref="R91:U91"/>
    <mergeCell ref="R92:U92"/>
    <mergeCell ref="R93:U93"/>
    <mergeCell ref="R94:U94"/>
    <mergeCell ref="R95:U95"/>
    <mergeCell ref="R84:U84"/>
    <mergeCell ref="R85:U85"/>
    <mergeCell ref="R86:U86"/>
    <mergeCell ref="R87:U87"/>
    <mergeCell ref="R88:U88"/>
    <mergeCell ref="R89:U89"/>
    <mergeCell ref="R78:U78"/>
    <mergeCell ref="R79:U79"/>
    <mergeCell ref="R80:U80"/>
    <mergeCell ref="R81:U81"/>
    <mergeCell ref="R82:U82"/>
    <mergeCell ref="R83:U83"/>
    <mergeCell ref="R72:U72"/>
    <mergeCell ref="R73:U73"/>
    <mergeCell ref="R74:U74"/>
    <mergeCell ref="R75:U75"/>
    <mergeCell ref="R76:U76"/>
    <mergeCell ref="R77:U77"/>
    <mergeCell ref="R66:U66"/>
    <mergeCell ref="R67:U67"/>
    <mergeCell ref="R68:U68"/>
    <mergeCell ref="R69:U69"/>
    <mergeCell ref="R70:U70"/>
    <mergeCell ref="R71:U71"/>
    <mergeCell ref="R61:U61"/>
    <mergeCell ref="R62:U62"/>
    <mergeCell ref="R63:U63"/>
    <mergeCell ref="R64:U64"/>
    <mergeCell ref="R65:U65"/>
    <mergeCell ref="R58:V59"/>
    <mergeCell ref="W58:X59"/>
    <mergeCell ref="C59:C60"/>
    <mergeCell ref="D59:D60"/>
    <mergeCell ref="E59:E60"/>
    <mergeCell ref="F59:F60"/>
    <mergeCell ref="G59:G60"/>
    <mergeCell ref="H59:H60"/>
    <mergeCell ref="I59:I60"/>
    <mergeCell ref="J59:J60"/>
    <mergeCell ref="A57:B57"/>
    <mergeCell ref="C57:I57"/>
    <mergeCell ref="J57:Q57"/>
    <mergeCell ref="R57:X57"/>
    <mergeCell ref="A58:A60"/>
    <mergeCell ref="B58:B60"/>
    <mergeCell ref="C58:J58"/>
    <mergeCell ref="K58:M59"/>
    <mergeCell ref="N58:P59"/>
    <mergeCell ref="Q58:Q60"/>
    <mergeCell ref="R60:U60"/>
    <mergeCell ref="W52:W55"/>
    <mergeCell ref="X52:X55"/>
    <mergeCell ref="B54:B55"/>
    <mergeCell ref="A56:P56"/>
    <mergeCell ref="Q56:X56"/>
    <mergeCell ref="L52:L55"/>
    <mergeCell ref="M52:M55"/>
    <mergeCell ref="N52:N55"/>
    <mergeCell ref="O52:O55"/>
    <mergeCell ref="P52:P55"/>
    <mergeCell ref="Q52:Q55"/>
    <mergeCell ref="F52:F55"/>
    <mergeCell ref="G52:G55"/>
    <mergeCell ref="H52:H55"/>
    <mergeCell ref="I52:I55"/>
    <mergeCell ref="J52:J55"/>
    <mergeCell ref="K52:K55"/>
    <mergeCell ref="R47:U47"/>
    <mergeCell ref="R48:U48"/>
    <mergeCell ref="R49:U49"/>
    <mergeCell ref="R50:U50"/>
    <mergeCell ref="R51:U51"/>
    <mergeCell ref="A52:A55"/>
    <mergeCell ref="B52:B53"/>
    <mergeCell ref="C52:C55"/>
    <mergeCell ref="D52:D55"/>
    <mergeCell ref="E52:E55"/>
    <mergeCell ref="R52:T55"/>
    <mergeCell ref="U52:V55"/>
    <mergeCell ref="R41:U41"/>
    <mergeCell ref="R42:U42"/>
    <mergeCell ref="R43:U43"/>
    <mergeCell ref="R44:U44"/>
    <mergeCell ref="R45:U45"/>
    <mergeCell ref="R46:U46"/>
    <mergeCell ref="R35:U35"/>
    <mergeCell ref="R36:U36"/>
    <mergeCell ref="R37:U37"/>
    <mergeCell ref="R38:U38"/>
    <mergeCell ref="R39:U39"/>
    <mergeCell ref="R40:U40"/>
    <mergeCell ref="R29:U29"/>
    <mergeCell ref="R30:U30"/>
    <mergeCell ref="R31:U31"/>
    <mergeCell ref="R32:U32"/>
    <mergeCell ref="R33:U33"/>
    <mergeCell ref="R34:U34"/>
    <mergeCell ref="R23:U23"/>
    <mergeCell ref="R24:U24"/>
    <mergeCell ref="R25:U25"/>
    <mergeCell ref="R26:U26"/>
    <mergeCell ref="R27:U27"/>
    <mergeCell ref="R28:U28"/>
    <mergeCell ref="R17:U17"/>
    <mergeCell ref="R18:U18"/>
    <mergeCell ref="R19:U19"/>
    <mergeCell ref="R20:U20"/>
    <mergeCell ref="R21:U21"/>
    <mergeCell ref="R22:U22"/>
    <mergeCell ref="R11:U11"/>
    <mergeCell ref="R12:U12"/>
    <mergeCell ref="R13:U13"/>
    <mergeCell ref="R14:U14"/>
    <mergeCell ref="R15:U15"/>
    <mergeCell ref="R16:U16"/>
    <mergeCell ref="R6:U6"/>
    <mergeCell ref="R7:U7"/>
    <mergeCell ref="R8:U8"/>
    <mergeCell ref="R9:U9"/>
    <mergeCell ref="R10:U10"/>
    <mergeCell ref="R3:V4"/>
    <mergeCell ref="W3:X4"/>
    <mergeCell ref="C4:C5"/>
    <mergeCell ref="D4:D5"/>
    <mergeCell ref="E4:E5"/>
    <mergeCell ref="F4:F5"/>
    <mergeCell ref="G4:G5"/>
    <mergeCell ref="H4:H5"/>
    <mergeCell ref="I4:I5"/>
    <mergeCell ref="J4:J5"/>
    <mergeCell ref="A3:A5"/>
    <mergeCell ref="B3:B5"/>
    <mergeCell ref="C3:J3"/>
    <mergeCell ref="K3:M4"/>
    <mergeCell ref="N3:P4"/>
    <mergeCell ref="Q3:Q5"/>
    <mergeCell ref="A1:P1"/>
    <mergeCell ref="Q1:X1"/>
    <mergeCell ref="A2:B2"/>
    <mergeCell ref="C2:I2"/>
    <mergeCell ref="J2:Q2"/>
    <mergeCell ref="R2:X2"/>
    <mergeCell ref="R5:U5"/>
  </mergeCells>
  <conditionalFormatting sqref="B6:B32">
    <cfRule type="duplicateValues" dxfId="123" priority="14"/>
  </conditionalFormatting>
  <conditionalFormatting sqref="B39">
    <cfRule type="containsText" priority="13" operator="containsText" text="ARZUAGA MENDOZA KAREN TATIANA">
      <formula>NOT(ISERROR(SEARCH("ARZUAGA MENDOZA KAREN TATIANA",B39)))</formula>
    </cfRule>
  </conditionalFormatting>
  <conditionalFormatting sqref="B79:B91">
    <cfRule type="duplicateValues" dxfId="122" priority="6"/>
  </conditionalFormatting>
  <conditionalFormatting sqref="B91:B93 B95">
    <cfRule type="duplicateValues" dxfId="121" priority="5"/>
  </conditionalFormatting>
  <conditionalFormatting sqref="B116:B118 B143:B147">
    <cfRule type="duplicateValues" dxfId="120" priority="4"/>
  </conditionalFormatting>
  <conditionalFormatting sqref="B134:B141">
    <cfRule type="duplicateValues" dxfId="119" priority="2"/>
  </conditionalFormatting>
  <conditionalFormatting sqref="B139:B149">
    <cfRule type="containsText" priority="3" operator="containsText" text="ARZUAGA MENDOZA KAREN TATIANA">
      <formula>NOT(ISERROR(SEARCH("ARZUAGA MENDOZA KAREN TATIANA",B139)))</formula>
    </cfRule>
  </conditionalFormatting>
  <conditionalFormatting sqref="B146:B147">
    <cfRule type="duplicateValues" dxfId="118" priority="1"/>
  </conditionalFormatting>
  <conditionalFormatting sqref="B148">
    <cfRule type="duplicateValues" dxfId="117" priority="7"/>
    <cfRule type="duplicateValues" dxfId="116" priority="10"/>
  </conditionalFormatting>
  <conditionalFormatting sqref="B149:B150">
    <cfRule type="duplicateValues" dxfId="115" priority="15"/>
  </conditionalFormatting>
  <conditionalFormatting sqref="J6:J51">
    <cfRule type="cellIs" dxfId="114" priority="24" operator="lessThan">
      <formula>65</formula>
    </cfRule>
    <cfRule type="cellIs" dxfId="113" priority="25" operator="greaterThan">
      <formula>64</formula>
    </cfRule>
  </conditionalFormatting>
  <conditionalFormatting sqref="J61:J103">
    <cfRule type="cellIs" dxfId="112" priority="29" operator="lessThan">
      <formula>65</formula>
    </cfRule>
    <cfRule type="cellIs" dxfId="111" priority="30" operator="greaterThan">
      <formula>64</formula>
    </cfRule>
  </conditionalFormatting>
  <conditionalFormatting sqref="J114:J159">
    <cfRule type="cellIs" dxfId="110" priority="34" operator="lessThan">
      <formula>65</formula>
    </cfRule>
    <cfRule type="cellIs" dxfId="109" priority="35" operator="greaterThan">
      <formula>64</formula>
    </cfRule>
  </conditionalFormatting>
  <conditionalFormatting sqref="M6:M51 P6:P51">
    <cfRule type="cellIs" dxfId="108" priority="28" operator="between">
      <formula>0</formula>
      <formula>100</formula>
    </cfRule>
  </conditionalFormatting>
  <conditionalFormatting sqref="M61:M103 P61:P103">
    <cfRule type="cellIs" dxfId="107" priority="33" operator="between">
      <formula>0</formula>
      <formula>100</formula>
    </cfRule>
  </conditionalFormatting>
  <conditionalFormatting sqref="M114:M159 P114:P159">
    <cfRule type="cellIs" dxfId="106" priority="38" operator="between">
      <formula>0</formula>
      <formula>100</formula>
    </cfRule>
  </conditionalFormatting>
  <conditionalFormatting sqref="V6:V51">
    <cfRule type="cellIs" dxfId="105" priority="26" operator="between">
      <formula>65</formula>
      <formula>100</formula>
    </cfRule>
    <cfRule type="cellIs" dxfId="104" priority="27" operator="lessThan">
      <formula>65</formula>
    </cfRule>
  </conditionalFormatting>
  <conditionalFormatting sqref="V61:V103">
    <cfRule type="cellIs" dxfId="103" priority="31" operator="between">
      <formula>65</formula>
      <formula>100</formula>
    </cfRule>
    <cfRule type="cellIs" dxfId="102" priority="32" operator="lessThan">
      <formula>65</formula>
    </cfRule>
  </conditionalFormatting>
  <conditionalFormatting sqref="V114:V159">
    <cfRule type="cellIs" dxfId="101" priority="36" operator="between">
      <formula>65</formula>
      <formula>100</formula>
    </cfRule>
    <cfRule type="cellIs" dxfId="100" priority="37" operator="lessThan">
      <formula>65</formula>
    </cfRule>
  </conditionalFormatting>
  <pageMargins left="0.7" right="0.7" top="0.75" bottom="0.75" header="0" footer="0"/>
  <pageSetup paperSize="5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01"/>
  <sheetViews>
    <sheetView showGridLines="0" showRowColHeaders="0" showRuler="0" topLeftCell="A58" zoomScaleNormal="100" workbookViewId="0">
      <selection activeCell="I69" sqref="I69"/>
    </sheetView>
  </sheetViews>
  <sheetFormatPr baseColWidth="10" defaultColWidth="14.42578125" defaultRowHeight="15" customHeight="1" x14ac:dyDescent="0.25"/>
  <cols>
    <col min="1" max="1" width="3.28515625" style="1" customWidth="1"/>
    <col min="2" max="2" width="39.85546875" style="58" customWidth="1"/>
    <col min="3" max="3" width="4.28515625" style="1" customWidth="1"/>
    <col min="4" max="8" width="4" style="1" customWidth="1"/>
    <col min="9" max="9" width="5" style="1" customWidth="1"/>
    <col min="10" max="10" width="4.28515625" style="1" customWidth="1"/>
    <col min="11" max="11" width="3.7109375" style="1" customWidth="1"/>
    <col min="12" max="12" width="3.5703125" style="1" customWidth="1"/>
    <col min="13" max="13" width="5.140625" style="1" customWidth="1"/>
    <col min="14" max="14" width="4.5703125" style="1" customWidth="1"/>
    <col min="15" max="15" width="3.5703125" style="1" customWidth="1"/>
    <col min="16" max="16" width="5.42578125" style="1" customWidth="1"/>
    <col min="17" max="19" width="3.5703125" style="1" customWidth="1"/>
    <col min="20" max="20" width="4" style="1" customWidth="1"/>
    <col min="21" max="21" width="3.5703125" style="1" customWidth="1"/>
    <col min="22" max="22" width="6.28515625" style="1" customWidth="1"/>
    <col min="23" max="23" width="0.140625" style="1" customWidth="1"/>
    <col min="24" max="24" width="0.5703125" style="1" hidden="1" customWidth="1"/>
    <col min="25" max="27" width="4.140625" style="1" customWidth="1"/>
    <col min="28" max="16384" width="14.42578125" style="1"/>
  </cols>
  <sheetData>
    <row r="1" spans="1:24" ht="87.75" customHeight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2"/>
      <c r="Q1" s="310"/>
      <c r="R1" s="228"/>
      <c r="S1" s="228"/>
      <c r="T1" s="228"/>
      <c r="U1" s="228"/>
      <c r="V1" s="228"/>
      <c r="W1" s="228"/>
      <c r="X1" s="229"/>
    </row>
    <row r="2" spans="1:24" ht="15.75" thickBot="1" x14ac:dyDescent="0.3">
      <c r="A2" s="218" t="s">
        <v>18</v>
      </c>
      <c r="B2" s="219"/>
      <c r="C2" s="220" t="s">
        <v>931</v>
      </c>
      <c r="D2" s="221"/>
      <c r="E2" s="221"/>
      <c r="F2" s="221"/>
      <c r="G2" s="221"/>
      <c r="H2" s="221"/>
      <c r="I2" s="222"/>
      <c r="J2" s="223" t="s">
        <v>20</v>
      </c>
      <c r="K2" s="224"/>
      <c r="L2" s="224"/>
      <c r="M2" s="224"/>
      <c r="N2" s="225"/>
      <c r="O2" s="225"/>
      <c r="P2" s="225"/>
      <c r="Q2" s="226"/>
      <c r="R2" s="227" t="s">
        <v>32</v>
      </c>
      <c r="S2" s="228"/>
      <c r="T2" s="228"/>
      <c r="U2" s="228"/>
      <c r="V2" s="228"/>
      <c r="W2" s="228"/>
      <c r="X2" s="229"/>
    </row>
    <row r="3" spans="1:24" ht="20.25" customHeight="1" x14ac:dyDescent="0.25">
      <c r="A3" s="230" t="s">
        <v>0</v>
      </c>
      <c r="B3" s="307" t="s">
        <v>1</v>
      </c>
      <c r="C3" s="235" t="s">
        <v>12</v>
      </c>
      <c r="D3" s="235"/>
      <c r="E3" s="235"/>
      <c r="F3" s="235"/>
      <c r="G3" s="235"/>
      <c r="H3" s="235"/>
      <c r="I3" s="235"/>
      <c r="J3" s="235"/>
      <c r="K3" s="236" t="s">
        <v>13</v>
      </c>
      <c r="L3" s="237"/>
      <c r="M3" s="237"/>
      <c r="N3" s="240" t="s">
        <v>15</v>
      </c>
      <c r="O3" s="240"/>
      <c r="P3" s="240"/>
      <c r="Q3" s="241" t="s">
        <v>4</v>
      </c>
      <c r="R3" s="244" t="s">
        <v>11</v>
      </c>
      <c r="S3" s="244"/>
      <c r="T3" s="244"/>
      <c r="U3" s="244"/>
      <c r="V3" s="244"/>
      <c r="W3" s="246" t="s">
        <v>2</v>
      </c>
      <c r="X3" s="247"/>
    </row>
    <row r="4" spans="1:24" ht="15" customHeight="1" x14ac:dyDescent="0.25">
      <c r="A4" s="231"/>
      <c r="B4" s="308"/>
      <c r="C4" s="248" t="s">
        <v>6</v>
      </c>
      <c r="D4" s="248" t="s">
        <v>17</v>
      </c>
      <c r="E4" s="248" t="s">
        <v>5</v>
      </c>
      <c r="F4" s="250"/>
      <c r="G4" s="250"/>
      <c r="H4" s="250"/>
      <c r="I4" s="251" t="s">
        <v>16</v>
      </c>
      <c r="J4" s="253" t="s">
        <v>14</v>
      </c>
      <c r="K4" s="238"/>
      <c r="L4" s="239"/>
      <c r="M4" s="239"/>
      <c r="N4" s="240"/>
      <c r="O4" s="240"/>
      <c r="P4" s="240"/>
      <c r="Q4" s="242"/>
      <c r="R4" s="245"/>
      <c r="S4" s="245"/>
      <c r="T4" s="245"/>
      <c r="U4" s="245"/>
      <c r="V4" s="245"/>
      <c r="W4" s="187"/>
      <c r="X4" s="187"/>
    </row>
    <row r="5" spans="1:24" ht="45" customHeight="1" thickBot="1" x14ac:dyDescent="0.3">
      <c r="A5" s="232"/>
      <c r="B5" s="309"/>
      <c r="C5" s="249"/>
      <c r="D5" s="249"/>
      <c r="E5" s="249"/>
      <c r="F5" s="249"/>
      <c r="G5" s="249"/>
      <c r="H5" s="249"/>
      <c r="I5" s="252"/>
      <c r="J5" s="254"/>
      <c r="K5" s="2" t="s">
        <v>9</v>
      </c>
      <c r="L5" s="2" t="s">
        <v>10</v>
      </c>
      <c r="M5" s="21" t="s">
        <v>3</v>
      </c>
      <c r="N5" s="2" t="s">
        <v>9</v>
      </c>
      <c r="O5" s="2" t="s">
        <v>10</v>
      </c>
      <c r="P5" s="22" t="s">
        <v>3</v>
      </c>
      <c r="Q5" s="243"/>
      <c r="R5" s="198" t="s">
        <v>7</v>
      </c>
      <c r="S5" s="199"/>
      <c r="T5" s="199"/>
      <c r="U5" s="200"/>
      <c r="V5" s="23" t="s">
        <v>8</v>
      </c>
      <c r="W5" s="5">
        <v>1</v>
      </c>
      <c r="X5" s="5">
        <v>2</v>
      </c>
    </row>
    <row r="6" spans="1:24" x14ac:dyDescent="0.25">
      <c r="A6" s="6">
        <v>1</v>
      </c>
      <c r="B6" s="69" t="s">
        <v>557</v>
      </c>
      <c r="C6" s="8"/>
      <c r="D6" s="8"/>
      <c r="E6" s="8"/>
      <c r="F6" s="8"/>
      <c r="G6" s="8"/>
      <c r="H6" s="8"/>
      <c r="I6" s="9">
        <v>60</v>
      </c>
      <c r="J6" s="15" t="e">
        <f>((AVERAGE(C6:H6))*72%)+I6*8%</f>
        <v>#DIV/0!</v>
      </c>
      <c r="K6" s="8"/>
      <c r="L6" s="8"/>
      <c r="M6" s="15" t="e">
        <f>(AVERAGE(K6:L6))*10%</f>
        <v>#DIV/0!</v>
      </c>
      <c r="N6" s="9"/>
      <c r="O6" s="9"/>
      <c r="P6" s="15" t="e">
        <f>(AVERAGE(N6:O6))*10%</f>
        <v>#DIV/0!</v>
      </c>
      <c r="Q6" s="8"/>
      <c r="R6" s="201" t="e">
        <f>IF(V6&lt;65,"BAJO",IF(V6&lt;=79,"BASICO",IF(V6&lt;=89,"ALTO",IF(V6&lt;=100,"SUPERIOR"))))</f>
        <v>#DIV/0!</v>
      </c>
      <c r="S6" s="202"/>
      <c r="T6" s="202"/>
      <c r="U6" s="203"/>
      <c r="V6" s="14" t="e">
        <f>J6+M6+P6</f>
        <v>#DIV/0!</v>
      </c>
      <c r="W6" s="10"/>
      <c r="X6" s="10"/>
    </row>
    <row r="7" spans="1:24" x14ac:dyDescent="0.25">
      <c r="A7" s="6">
        <v>2</v>
      </c>
      <c r="B7" s="67" t="s">
        <v>463</v>
      </c>
      <c r="C7" s="8">
        <v>71</v>
      </c>
      <c r="D7" s="8">
        <v>96</v>
      </c>
      <c r="E7" s="8">
        <v>55</v>
      </c>
      <c r="F7" s="8"/>
      <c r="G7" s="8"/>
      <c r="H7" s="8"/>
      <c r="I7" s="9">
        <v>40</v>
      </c>
      <c r="J7" s="15">
        <f t="shared" ref="J7:J51" si="0">((AVERAGE(C7:H7))*72%)+I7*8%</f>
        <v>56.480000000000004</v>
      </c>
      <c r="K7" s="8">
        <v>65</v>
      </c>
      <c r="L7" s="8">
        <v>65</v>
      </c>
      <c r="M7" s="15">
        <f t="shared" ref="M7:M51" si="1">(AVERAGE(K7:L7))*10%</f>
        <v>6.5</v>
      </c>
      <c r="N7" s="8">
        <v>69</v>
      </c>
      <c r="O7" s="8">
        <v>69</v>
      </c>
      <c r="P7" s="15">
        <f t="shared" ref="P7:P51" si="2">(AVERAGE(N7:O7))*10%</f>
        <v>6.9</v>
      </c>
      <c r="Q7" s="11"/>
      <c r="R7" s="201" t="str">
        <f t="shared" ref="R7:R51" si="3">IF(V7&lt;65,"BAJO",IF(V7&lt;=79,"BASICO",IF(V7&lt;=89,"ALTO",IF(V7&lt;=100,"SUPERIOR"))))</f>
        <v>BASICO</v>
      </c>
      <c r="S7" s="202"/>
      <c r="T7" s="202"/>
      <c r="U7" s="203"/>
      <c r="V7" s="14">
        <f t="shared" ref="V7:V51" si="4">J7+M7+P7</f>
        <v>69.88000000000001</v>
      </c>
      <c r="W7" s="10"/>
      <c r="X7" s="10"/>
    </row>
    <row r="8" spans="1:24" x14ac:dyDescent="0.25">
      <c r="A8" s="6">
        <v>3</v>
      </c>
      <c r="B8" s="67" t="s">
        <v>488</v>
      </c>
      <c r="C8" s="8">
        <v>94</v>
      </c>
      <c r="D8" s="8">
        <v>51</v>
      </c>
      <c r="E8" s="8">
        <v>99</v>
      </c>
      <c r="F8" s="8"/>
      <c r="G8" s="8"/>
      <c r="H8" s="8"/>
      <c r="I8" s="9">
        <v>40</v>
      </c>
      <c r="J8" s="15">
        <f t="shared" si="0"/>
        <v>61.76</v>
      </c>
      <c r="K8" s="8">
        <v>81</v>
      </c>
      <c r="L8" s="8">
        <v>81</v>
      </c>
      <c r="M8" s="15">
        <f t="shared" si="1"/>
        <v>8.1</v>
      </c>
      <c r="N8" s="8">
        <v>98</v>
      </c>
      <c r="O8" s="8">
        <v>98</v>
      </c>
      <c r="P8" s="15">
        <f t="shared" si="2"/>
        <v>9.8000000000000007</v>
      </c>
      <c r="Q8" s="11"/>
      <c r="R8" s="201" t="str">
        <f t="shared" si="3"/>
        <v>ALTO</v>
      </c>
      <c r="S8" s="202"/>
      <c r="T8" s="202"/>
      <c r="U8" s="203"/>
      <c r="V8" s="14">
        <f t="shared" si="4"/>
        <v>79.66</v>
      </c>
      <c r="W8" s="10"/>
      <c r="X8" s="10"/>
    </row>
    <row r="9" spans="1:24" x14ac:dyDescent="0.25">
      <c r="A9" s="6">
        <v>4</v>
      </c>
      <c r="B9" s="67" t="s">
        <v>817</v>
      </c>
      <c r="C9" s="8">
        <v>31</v>
      </c>
      <c r="D9" s="8">
        <v>81</v>
      </c>
      <c r="E9" s="8">
        <v>99</v>
      </c>
      <c r="F9" s="8"/>
      <c r="G9" s="8"/>
      <c r="H9" s="8"/>
      <c r="I9" s="8">
        <v>0</v>
      </c>
      <c r="J9" s="15">
        <f t="shared" si="0"/>
        <v>50.639999999999993</v>
      </c>
      <c r="K9" s="8">
        <v>91</v>
      </c>
      <c r="L9" s="8">
        <v>91</v>
      </c>
      <c r="M9" s="15">
        <f t="shared" si="1"/>
        <v>9.1</v>
      </c>
      <c r="N9" s="8">
        <v>100</v>
      </c>
      <c r="O9" s="8">
        <v>100</v>
      </c>
      <c r="P9" s="15">
        <f t="shared" si="2"/>
        <v>10</v>
      </c>
      <c r="Q9" s="11"/>
      <c r="R9" s="201" t="str">
        <f t="shared" si="3"/>
        <v>BASICO</v>
      </c>
      <c r="S9" s="202"/>
      <c r="T9" s="202"/>
      <c r="U9" s="203"/>
      <c r="V9" s="14">
        <f t="shared" si="4"/>
        <v>69.739999999999995</v>
      </c>
      <c r="W9" s="10"/>
      <c r="X9" s="10"/>
    </row>
    <row r="10" spans="1:24" x14ac:dyDescent="0.25">
      <c r="A10" s="6">
        <v>5</v>
      </c>
      <c r="B10" s="67" t="s">
        <v>489</v>
      </c>
      <c r="C10" s="8">
        <v>77</v>
      </c>
      <c r="D10" s="8">
        <v>76</v>
      </c>
      <c r="E10" s="8">
        <v>33</v>
      </c>
      <c r="F10" s="8"/>
      <c r="G10" s="8"/>
      <c r="H10" s="8"/>
      <c r="I10" s="8">
        <v>40</v>
      </c>
      <c r="J10" s="15">
        <f t="shared" si="0"/>
        <v>47.84</v>
      </c>
      <c r="K10" s="8">
        <v>83</v>
      </c>
      <c r="L10" s="8">
        <v>83</v>
      </c>
      <c r="M10" s="15">
        <f t="shared" si="1"/>
        <v>8.3000000000000007</v>
      </c>
      <c r="N10" s="8">
        <v>90</v>
      </c>
      <c r="O10" s="8">
        <v>90</v>
      </c>
      <c r="P10" s="15">
        <f t="shared" si="2"/>
        <v>9</v>
      </c>
      <c r="Q10" s="10"/>
      <c r="R10" s="201" t="str">
        <f t="shared" si="3"/>
        <v>BASICO</v>
      </c>
      <c r="S10" s="202"/>
      <c r="T10" s="202"/>
      <c r="U10" s="203"/>
      <c r="V10" s="14">
        <f t="shared" si="4"/>
        <v>65.14</v>
      </c>
      <c r="W10" s="10"/>
      <c r="X10" s="10"/>
    </row>
    <row r="11" spans="1:24" x14ac:dyDescent="0.25">
      <c r="A11" s="6">
        <v>6</v>
      </c>
      <c r="B11" s="124" t="s">
        <v>517</v>
      </c>
      <c r="C11" s="8">
        <v>56</v>
      </c>
      <c r="D11" s="8">
        <v>29</v>
      </c>
      <c r="E11" s="8">
        <v>99</v>
      </c>
      <c r="F11" s="8"/>
      <c r="G11" s="8"/>
      <c r="H11" s="8"/>
      <c r="I11" s="8">
        <v>40</v>
      </c>
      <c r="J11" s="15">
        <f t="shared" si="0"/>
        <v>47.36</v>
      </c>
      <c r="K11" s="8">
        <v>91</v>
      </c>
      <c r="L11" s="8">
        <v>91</v>
      </c>
      <c r="M11" s="15">
        <f t="shared" si="1"/>
        <v>9.1</v>
      </c>
      <c r="N11" s="8">
        <v>81</v>
      </c>
      <c r="O11" s="8">
        <v>81</v>
      </c>
      <c r="P11" s="15">
        <f t="shared" si="2"/>
        <v>8.1</v>
      </c>
      <c r="Q11" s="10"/>
      <c r="R11" s="201" t="str">
        <f t="shared" si="3"/>
        <v>BAJO</v>
      </c>
      <c r="S11" s="202"/>
      <c r="T11" s="202"/>
      <c r="U11" s="203"/>
      <c r="V11" s="14">
        <f t="shared" si="4"/>
        <v>64.56</v>
      </c>
      <c r="W11" s="10"/>
      <c r="X11" s="10"/>
    </row>
    <row r="12" spans="1:24" x14ac:dyDescent="0.25">
      <c r="A12" s="6">
        <v>7</v>
      </c>
      <c r="B12" s="67" t="s">
        <v>519</v>
      </c>
      <c r="C12" s="8">
        <v>95</v>
      </c>
      <c r="D12" s="8">
        <v>59</v>
      </c>
      <c r="E12" s="8">
        <v>35</v>
      </c>
      <c r="F12" s="8"/>
      <c r="G12" s="8"/>
      <c r="H12" s="8"/>
      <c r="I12" s="8">
        <v>40</v>
      </c>
      <c r="J12" s="15">
        <f t="shared" si="0"/>
        <v>48.56</v>
      </c>
      <c r="K12" s="8">
        <v>81</v>
      </c>
      <c r="L12" s="8">
        <v>81</v>
      </c>
      <c r="M12" s="15">
        <f t="shared" si="1"/>
        <v>8.1</v>
      </c>
      <c r="N12" s="8">
        <v>83</v>
      </c>
      <c r="O12" s="8">
        <v>83</v>
      </c>
      <c r="P12" s="15">
        <f t="shared" si="2"/>
        <v>8.3000000000000007</v>
      </c>
      <c r="Q12" s="10"/>
      <c r="R12" s="201" t="str">
        <f t="shared" si="3"/>
        <v>BAJO</v>
      </c>
      <c r="S12" s="202"/>
      <c r="T12" s="202"/>
      <c r="U12" s="203"/>
      <c r="V12" s="14">
        <f t="shared" si="4"/>
        <v>64.960000000000008</v>
      </c>
      <c r="W12" s="10"/>
      <c r="X12" s="10"/>
    </row>
    <row r="13" spans="1:24" x14ac:dyDescent="0.25">
      <c r="A13" s="6">
        <v>8</v>
      </c>
      <c r="B13" s="125" t="s">
        <v>445</v>
      </c>
      <c r="C13" s="8">
        <v>100</v>
      </c>
      <c r="D13" s="8">
        <v>100</v>
      </c>
      <c r="E13" s="8">
        <v>100</v>
      </c>
      <c r="F13" s="8"/>
      <c r="G13" s="8"/>
      <c r="H13" s="8"/>
      <c r="I13" s="8">
        <v>60</v>
      </c>
      <c r="J13" s="15">
        <f t="shared" si="0"/>
        <v>76.8</v>
      </c>
      <c r="K13" s="8">
        <v>65</v>
      </c>
      <c r="L13" s="8">
        <v>65</v>
      </c>
      <c r="M13" s="15">
        <f t="shared" si="1"/>
        <v>6.5</v>
      </c>
      <c r="N13" s="8">
        <v>65</v>
      </c>
      <c r="O13" s="8">
        <v>65</v>
      </c>
      <c r="P13" s="15">
        <f t="shared" si="2"/>
        <v>6.5</v>
      </c>
      <c r="Q13" s="10"/>
      <c r="R13" s="201" t="str">
        <f t="shared" si="3"/>
        <v>SUPERIOR</v>
      </c>
      <c r="S13" s="202"/>
      <c r="T13" s="202"/>
      <c r="U13" s="203"/>
      <c r="V13" s="14">
        <f t="shared" si="4"/>
        <v>89.8</v>
      </c>
      <c r="W13" s="10"/>
      <c r="X13" s="10"/>
    </row>
    <row r="14" spans="1:24" x14ac:dyDescent="0.25">
      <c r="A14" s="6">
        <v>9</v>
      </c>
      <c r="B14" s="67" t="s">
        <v>464</v>
      </c>
      <c r="C14" s="8">
        <v>88</v>
      </c>
      <c r="D14" s="8">
        <v>66</v>
      </c>
      <c r="E14" s="8">
        <v>86</v>
      </c>
      <c r="F14" s="8"/>
      <c r="G14" s="8"/>
      <c r="H14" s="8"/>
      <c r="I14" s="8">
        <v>40</v>
      </c>
      <c r="J14" s="15">
        <f t="shared" si="0"/>
        <v>60.8</v>
      </c>
      <c r="K14" s="8">
        <v>93</v>
      </c>
      <c r="L14" s="8">
        <v>93</v>
      </c>
      <c r="M14" s="15">
        <f t="shared" si="1"/>
        <v>9.3000000000000007</v>
      </c>
      <c r="N14" s="8">
        <v>81</v>
      </c>
      <c r="O14" s="8">
        <v>81</v>
      </c>
      <c r="P14" s="15">
        <f t="shared" si="2"/>
        <v>8.1</v>
      </c>
      <c r="Q14" s="10"/>
      <c r="R14" s="201" t="str">
        <f t="shared" si="3"/>
        <v>BASICO</v>
      </c>
      <c r="S14" s="202"/>
      <c r="T14" s="202"/>
      <c r="U14" s="203"/>
      <c r="V14" s="14">
        <f t="shared" si="4"/>
        <v>78.199999999999989</v>
      </c>
      <c r="W14" s="10"/>
      <c r="X14" s="10"/>
    </row>
    <row r="15" spans="1:24" x14ac:dyDescent="0.25">
      <c r="A15" s="6">
        <v>10</v>
      </c>
      <c r="B15" s="67" t="s">
        <v>818</v>
      </c>
      <c r="C15" s="8">
        <v>74</v>
      </c>
      <c r="D15" s="8">
        <v>91</v>
      </c>
      <c r="E15" s="8">
        <v>82</v>
      </c>
      <c r="F15" s="8"/>
      <c r="G15" s="8"/>
      <c r="H15" s="8"/>
      <c r="I15" s="8">
        <v>40</v>
      </c>
      <c r="J15" s="15">
        <f t="shared" si="0"/>
        <v>62.48</v>
      </c>
      <c r="K15" s="8">
        <v>88</v>
      </c>
      <c r="L15" s="8">
        <v>88</v>
      </c>
      <c r="M15" s="15">
        <f t="shared" si="1"/>
        <v>8.8000000000000007</v>
      </c>
      <c r="N15" s="8">
        <v>89</v>
      </c>
      <c r="O15" s="8">
        <v>89</v>
      </c>
      <c r="P15" s="15">
        <f t="shared" si="2"/>
        <v>8.9</v>
      </c>
      <c r="Q15" s="10"/>
      <c r="R15" s="201" t="str">
        <f t="shared" si="3"/>
        <v>ALTO</v>
      </c>
      <c r="S15" s="202"/>
      <c r="T15" s="202"/>
      <c r="U15" s="203"/>
      <c r="V15" s="14">
        <f t="shared" si="4"/>
        <v>80.180000000000007</v>
      </c>
      <c r="W15" s="10"/>
      <c r="X15" s="10"/>
    </row>
    <row r="16" spans="1:24" x14ac:dyDescent="0.25">
      <c r="A16" s="6">
        <v>11</v>
      </c>
      <c r="B16" s="67" t="s">
        <v>912</v>
      </c>
      <c r="C16" s="8">
        <v>45</v>
      </c>
      <c r="D16" s="8">
        <v>100</v>
      </c>
      <c r="E16" s="8">
        <v>95</v>
      </c>
      <c r="F16" s="8"/>
      <c r="G16" s="8"/>
      <c r="H16" s="8"/>
      <c r="I16" s="8">
        <v>60</v>
      </c>
      <c r="J16" s="15">
        <f t="shared" si="0"/>
        <v>62.399999999999991</v>
      </c>
      <c r="K16" s="8">
        <v>81</v>
      </c>
      <c r="L16" s="8">
        <v>81</v>
      </c>
      <c r="M16" s="15">
        <f t="shared" si="1"/>
        <v>8.1</v>
      </c>
      <c r="N16" s="8">
        <v>100</v>
      </c>
      <c r="O16" s="8">
        <v>100</v>
      </c>
      <c r="P16" s="15">
        <f t="shared" si="2"/>
        <v>10</v>
      </c>
      <c r="Q16" s="10"/>
      <c r="R16" s="201" t="str">
        <f t="shared" si="3"/>
        <v>ALTO</v>
      </c>
      <c r="S16" s="202"/>
      <c r="T16" s="202"/>
      <c r="U16" s="203"/>
      <c r="V16" s="14">
        <f t="shared" si="4"/>
        <v>80.499999999999986</v>
      </c>
      <c r="W16" s="10"/>
      <c r="X16" s="10"/>
    </row>
    <row r="17" spans="1:24" x14ac:dyDescent="0.25">
      <c r="A17" s="6">
        <v>12</v>
      </c>
      <c r="B17" s="67" t="s">
        <v>466</v>
      </c>
      <c r="C17" s="8">
        <v>100</v>
      </c>
      <c r="D17" s="8">
        <v>100</v>
      </c>
      <c r="E17" s="8">
        <v>100</v>
      </c>
      <c r="F17" s="8"/>
      <c r="G17" s="8"/>
      <c r="H17" s="8"/>
      <c r="I17" s="8">
        <v>60</v>
      </c>
      <c r="J17" s="15">
        <f t="shared" si="0"/>
        <v>76.8</v>
      </c>
      <c r="K17" s="8">
        <v>65</v>
      </c>
      <c r="L17" s="8">
        <v>65</v>
      </c>
      <c r="M17" s="15">
        <f t="shared" si="1"/>
        <v>6.5</v>
      </c>
      <c r="N17" s="8">
        <v>65</v>
      </c>
      <c r="O17" s="8">
        <v>65</v>
      </c>
      <c r="P17" s="15">
        <f t="shared" si="2"/>
        <v>6.5</v>
      </c>
      <c r="Q17" s="10"/>
      <c r="R17" s="201" t="str">
        <f t="shared" si="3"/>
        <v>SUPERIOR</v>
      </c>
      <c r="S17" s="202"/>
      <c r="T17" s="202"/>
      <c r="U17" s="203"/>
      <c r="V17" s="14">
        <f t="shared" si="4"/>
        <v>89.8</v>
      </c>
      <c r="W17" s="10"/>
      <c r="X17" s="10"/>
    </row>
    <row r="18" spans="1:24" x14ac:dyDescent="0.25">
      <c r="A18" s="6">
        <v>13</v>
      </c>
      <c r="B18" s="124" t="s">
        <v>468</v>
      </c>
      <c r="C18" s="8">
        <v>100</v>
      </c>
      <c r="D18" s="8">
        <v>100</v>
      </c>
      <c r="E18" s="8">
        <v>100</v>
      </c>
      <c r="F18" s="8"/>
      <c r="G18" s="8"/>
      <c r="H18" s="8"/>
      <c r="I18" s="8">
        <v>60</v>
      </c>
      <c r="J18" s="15">
        <f t="shared" si="0"/>
        <v>76.8</v>
      </c>
      <c r="K18" s="8">
        <v>65</v>
      </c>
      <c r="L18" s="8">
        <v>65</v>
      </c>
      <c r="M18" s="15">
        <f t="shared" si="1"/>
        <v>6.5</v>
      </c>
      <c r="N18" s="8">
        <v>65</v>
      </c>
      <c r="O18" s="8">
        <v>65</v>
      </c>
      <c r="P18" s="15">
        <f t="shared" si="2"/>
        <v>6.5</v>
      </c>
      <c r="Q18" s="10"/>
      <c r="R18" s="201" t="str">
        <f t="shared" si="3"/>
        <v>SUPERIOR</v>
      </c>
      <c r="S18" s="202"/>
      <c r="T18" s="202"/>
      <c r="U18" s="203"/>
      <c r="V18" s="14">
        <f t="shared" si="4"/>
        <v>89.8</v>
      </c>
      <c r="W18" s="10"/>
      <c r="X18" s="10"/>
    </row>
    <row r="19" spans="1:24" x14ac:dyDescent="0.25">
      <c r="A19" s="6">
        <v>14</v>
      </c>
      <c r="B19" s="67" t="s">
        <v>470</v>
      </c>
      <c r="C19" s="8">
        <v>91</v>
      </c>
      <c r="D19" s="8">
        <v>96</v>
      </c>
      <c r="E19" s="8">
        <v>22</v>
      </c>
      <c r="F19" s="8"/>
      <c r="G19" s="8"/>
      <c r="H19" s="8"/>
      <c r="I19" s="8">
        <v>40</v>
      </c>
      <c r="J19" s="15">
        <f t="shared" si="0"/>
        <v>53.360000000000007</v>
      </c>
      <c r="K19" s="8">
        <v>82</v>
      </c>
      <c r="L19" s="8">
        <v>82</v>
      </c>
      <c r="M19" s="15">
        <f t="shared" si="1"/>
        <v>8.2000000000000011</v>
      </c>
      <c r="N19" s="8">
        <v>88</v>
      </c>
      <c r="O19" s="8">
        <v>88</v>
      </c>
      <c r="P19" s="15">
        <f t="shared" si="2"/>
        <v>8.8000000000000007</v>
      </c>
      <c r="Q19" s="10"/>
      <c r="R19" s="201" t="str">
        <f t="shared" si="3"/>
        <v>BASICO</v>
      </c>
      <c r="S19" s="202"/>
      <c r="T19" s="202"/>
      <c r="U19" s="203"/>
      <c r="V19" s="14">
        <f t="shared" si="4"/>
        <v>70.360000000000014</v>
      </c>
      <c r="W19" s="10"/>
      <c r="X19" s="10"/>
    </row>
    <row r="20" spans="1:24" x14ac:dyDescent="0.25">
      <c r="A20" s="6">
        <v>15</v>
      </c>
      <c r="B20" s="67" t="s">
        <v>471</v>
      </c>
      <c r="C20" s="8">
        <v>81</v>
      </c>
      <c r="D20" s="8">
        <v>85</v>
      </c>
      <c r="E20" s="8">
        <v>96</v>
      </c>
      <c r="F20" s="8"/>
      <c r="G20" s="8"/>
      <c r="H20" s="8"/>
      <c r="I20" s="8">
        <v>40</v>
      </c>
      <c r="J20" s="15">
        <f t="shared" si="0"/>
        <v>66.08</v>
      </c>
      <c r="K20" s="8">
        <v>94</v>
      </c>
      <c r="L20" s="8">
        <v>94</v>
      </c>
      <c r="M20" s="15">
        <f t="shared" si="1"/>
        <v>9.4</v>
      </c>
      <c r="N20" s="8">
        <v>93</v>
      </c>
      <c r="O20" s="8">
        <v>93</v>
      </c>
      <c r="P20" s="15">
        <f t="shared" si="2"/>
        <v>9.3000000000000007</v>
      </c>
      <c r="Q20" s="10"/>
      <c r="R20" s="201" t="str">
        <f t="shared" si="3"/>
        <v>ALTO</v>
      </c>
      <c r="S20" s="202"/>
      <c r="T20" s="202"/>
      <c r="U20" s="203"/>
      <c r="V20" s="14">
        <f t="shared" si="4"/>
        <v>84.78</v>
      </c>
      <c r="W20" s="10"/>
      <c r="X20" s="10"/>
    </row>
    <row r="21" spans="1:24" ht="15.75" customHeight="1" x14ac:dyDescent="0.25">
      <c r="A21" s="6">
        <v>16</v>
      </c>
      <c r="B21" s="67" t="s">
        <v>472</v>
      </c>
      <c r="C21" s="8">
        <v>92</v>
      </c>
      <c r="D21" s="8">
        <v>100</v>
      </c>
      <c r="E21" s="8">
        <v>65</v>
      </c>
      <c r="F21" s="8"/>
      <c r="G21" s="8"/>
      <c r="H21" s="8"/>
      <c r="I21" s="8">
        <v>40</v>
      </c>
      <c r="J21" s="15">
        <f t="shared" si="0"/>
        <v>64.88</v>
      </c>
      <c r="K21" s="8">
        <v>68</v>
      </c>
      <c r="L21" s="8">
        <v>68</v>
      </c>
      <c r="M21" s="15">
        <f t="shared" si="1"/>
        <v>6.8000000000000007</v>
      </c>
      <c r="N21" s="8">
        <v>83</v>
      </c>
      <c r="O21" s="8">
        <v>83</v>
      </c>
      <c r="P21" s="15">
        <f t="shared" si="2"/>
        <v>8.3000000000000007</v>
      </c>
      <c r="Q21" s="10"/>
      <c r="R21" s="201" t="str">
        <f t="shared" si="3"/>
        <v>ALTO</v>
      </c>
      <c r="S21" s="202"/>
      <c r="T21" s="202"/>
      <c r="U21" s="203"/>
      <c r="V21" s="14">
        <f t="shared" si="4"/>
        <v>79.97999999999999</v>
      </c>
      <c r="W21" s="10"/>
      <c r="X21" s="10"/>
    </row>
    <row r="22" spans="1:24" ht="15.75" customHeight="1" x14ac:dyDescent="0.25">
      <c r="A22" s="6">
        <v>17</v>
      </c>
      <c r="B22" s="67" t="s">
        <v>473</v>
      </c>
      <c r="C22" s="8">
        <v>86</v>
      </c>
      <c r="D22" s="8">
        <v>99</v>
      </c>
      <c r="E22" s="8">
        <v>100</v>
      </c>
      <c r="F22" s="8"/>
      <c r="G22" s="8"/>
      <c r="H22" s="8"/>
      <c r="I22" s="13">
        <v>40</v>
      </c>
      <c r="J22" s="15">
        <f t="shared" si="0"/>
        <v>71.599999999999994</v>
      </c>
      <c r="K22" s="8">
        <v>96</v>
      </c>
      <c r="L22" s="8">
        <v>96</v>
      </c>
      <c r="M22" s="15">
        <f t="shared" si="1"/>
        <v>9.6000000000000014</v>
      </c>
      <c r="N22" s="8">
        <v>94</v>
      </c>
      <c r="O22" s="8">
        <v>94</v>
      </c>
      <c r="P22" s="15">
        <f t="shared" si="2"/>
        <v>9.4</v>
      </c>
      <c r="Q22" s="10"/>
      <c r="R22" s="201" t="str">
        <f t="shared" si="3"/>
        <v>SUPERIOR</v>
      </c>
      <c r="S22" s="202"/>
      <c r="T22" s="202"/>
      <c r="U22" s="203"/>
      <c r="V22" s="14">
        <f t="shared" si="4"/>
        <v>90.6</v>
      </c>
      <c r="W22" s="10"/>
      <c r="X22" s="10"/>
    </row>
    <row r="23" spans="1:24" ht="15.75" customHeight="1" x14ac:dyDescent="0.25">
      <c r="A23" s="6">
        <v>18</v>
      </c>
      <c r="B23" s="67" t="s">
        <v>474</v>
      </c>
      <c r="C23" s="8">
        <v>58</v>
      </c>
      <c r="D23" s="8">
        <v>27</v>
      </c>
      <c r="E23" s="8">
        <v>93</v>
      </c>
      <c r="F23" s="8"/>
      <c r="G23" s="8"/>
      <c r="H23" s="8"/>
      <c r="I23" s="8">
        <v>40</v>
      </c>
      <c r="J23" s="15">
        <f t="shared" si="0"/>
        <v>45.92</v>
      </c>
      <c r="K23" s="8">
        <v>73</v>
      </c>
      <c r="L23" s="8">
        <v>73</v>
      </c>
      <c r="M23" s="15">
        <f t="shared" si="1"/>
        <v>7.3000000000000007</v>
      </c>
      <c r="N23" s="8">
        <v>66</v>
      </c>
      <c r="O23" s="8">
        <v>66</v>
      </c>
      <c r="P23" s="15">
        <f t="shared" si="2"/>
        <v>6.6000000000000005</v>
      </c>
      <c r="Q23" s="10"/>
      <c r="R23" s="201" t="str">
        <f t="shared" si="3"/>
        <v>BAJO</v>
      </c>
      <c r="S23" s="202"/>
      <c r="T23" s="202"/>
      <c r="U23" s="203"/>
      <c r="V23" s="14">
        <f t="shared" si="4"/>
        <v>59.82</v>
      </c>
      <c r="W23" s="10"/>
      <c r="X23" s="10"/>
    </row>
    <row r="24" spans="1:24" ht="15.75" customHeight="1" x14ac:dyDescent="0.25">
      <c r="A24" s="6">
        <v>19</v>
      </c>
      <c r="B24" s="67" t="s">
        <v>475</v>
      </c>
      <c r="C24" s="8">
        <v>68</v>
      </c>
      <c r="D24" s="8">
        <v>42</v>
      </c>
      <c r="E24" s="8">
        <v>66</v>
      </c>
      <c r="F24" s="8"/>
      <c r="G24" s="8"/>
      <c r="H24" s="8"/>
      <c r="I24" s="8">
        <v>60</v>
      </c>
      <c r="J24" s="15">
        <f t="shared" si="0"/>
        <v>47.039999999999992</v>
      </c>
      <c r="K24" s="8">
        <v>89</v>
      </c>
      <c r="L24" s="8">
        <v>89</v>
      </c>
      <c r="M24" s="15">
        <f t="shared" si="1"/>
        <v>8.9</v>
      </c>
      <c r="N24" s="8">
        <v>87</v>
      </c>
      <c r="O24" s="8">
        <v>87</v>
      </c>
      <c r="P24" s="15">
        <f t="shared" si="2"/>
        <v>8.7000000000000011</v>
      </c>
      <c r="Q24" s="10"/>
      <c r="R24" s="201" t="str">
        <f t="shared" si="3"/>
        <v>BAJO</v>
      </c>
      <c r="S24" s="202"/>
      <c r="T24" s="202"/>
      <c r="U24" s="203"/>
      <c r="V24" s="14">
        <f t="shared" si="4"/>
        <v>64.639999999999986</v>
      </c>
      <c r="W24" s="10"/>
      <c r="X24" s="10"/>
    </row>
    <row r="25" spans="1:24" ht="15.75" customHeight="1" x14ac:dyDescent="0.25">
      <c r="A25" s="6">
        <v>20</v>
      </c>
      <c r="B25" s="67" t="s">
        <v>477</v>
      </c>
      <c r="C25" s="8">
        <v>100</v>
      </c>
      <c r="D25" s="8">
        <v>84</v>
      </c>
      <c r="E25" s="8">
        <v>97</v>
      </c>
      <c r="F25" s="8"/>
      <c r="G25" s="8"/>
      <c r="H25" s="8"/>
      <c r="I25" s="8">
        <v>60</v>
      </c>
      <c r="J25" s="15">
        <f t="shared" si="0"/>
        <v>72.239999999999995</v>
      </c>
      <c r="K25" s="8">
        <v>86</v>
      </c>
      <c r="L25" s="8">
        <v>86</v>
      </c>
      <c r="M25" s="15">
        <f t="shared" si="1"/>
        <v>8.6</v>
      </c>
      <c r="N25" s="8">
        <v>96</v>
      </c>
      <c r="O25" s="8">
        <v>96</v>
      </c>
      <c r="P25" s="15">
        <f t="shared" si="2"/>
        <v>9.6000000000000014</v>
      </c>
      <c r="Q25" s="10"/>
      <c r="R25" s="201" t="str">
        <f t="shared" si="3"/>
        <v>SUPERIOR</v>
      </c>
      <c r="S25" s="202"/>
      <c r="T25" s="202"/>
      <c r="U25" s="203"/>
      <c r="V25" s="14">
        <f t="shared" si="4"/>
        <v>90.44</v>
      </c>
      <c r="W25" s="10"/>
      <c r="X25" s="10"/>
    </row>
    <row r="26" spans="1:24" ht="15.75" customHeight="1" x14ac:dyDescent="0.25">
      <c r="A26" s="6">
        <v>21</v>
      </c>
      <c r="B26" s="67" t="s">
        <v>454</v>
      </c>
      <c r="C26" s="8">
        <v>95</v>
      </c>
      <c r="D26" s="8">
        <v>88</v>
      </c>
      <c r="E26" s="8">
        <v>76</v>
      </c>
      <c r="F26" s="8"/>
      <c r="G26" s="8"/>
      <c r="H26" s="8"/>
      <c r="I26" s="8">
        <v>40</v>
      </c>
      <c r="J26" s="15">
        <f t="shared" si="0"/>
        <v>65.36</v>
      </c>
      <c r="K26" s="8">
        <v>97</v>
      </c>
      <c r="L26" s="8">
        <v>97</v>
      </c>
      <c r="M26" s="15">
        <f t="shared" si="1"/>
        <v>9.7000000000000011</v>
      </c>
      <c r="N26" s="8">
        <v>95</v>
      </c>
      <c r="O26" s="8">
        <v>95</v>
      </c>
      <c r="P26" s="15">
        <f t="shared" si="2"/>
        <v>9.5</v>
      </c>
      <c r="Q26" s="10"/>
      <c r="R26" s="201" t="str">
        <f t="shared" si="3"/>
        <v>ALTO</v>
      </c>
      <c r="S26" s="202"/>
      <c r="T26" s="202"/>
      <c r="U26" s="203"/>
      <c r="V26" s="14">
        <f t="shared" si="4"/>
        <v>84.56</v>
      </c>
      <c r="W26" s="10"/>
      <c r="X26" s="10"/>
    </row>
    <row r="27" spans="1:24" ht="15.75" customHeight="1" x14ac:dyDescent="0.25">
      <c r="A27" s="6">
        <v>22</v>
      </c>
      <c r="B27" s="68" t="s">
        <v>478</v>
      </c>
      <c r="C27" s="8">
        <v>69</v>
      </c>
      <c r="D27" s="8">
        <v>90</v>
      </c>
      <c r="E27" s="8">
        <v>84</v>
      </c>
      <c r="F27" s="8"/>
      <c r="G27" s="8"/>
      <c r="H27" s="8"/>
      <c r="I27" s="8">
        <v>40</v>
      </c>
      <c r="J27" s="15">
        <f t="shared" si="0"/>
        <v>61.52</v>
      </c>
      <c r="K27" s="8">
        <v>99</v>
      </c>
      <c r="L27" s="8">
        <v>99</v>
      </c>
      <c r="M27" s="15">
        <f t="shared" si="1"/>
        <v>9.9</v>
      </c>
      <c r="N27" s="8">
        <v>88</v>
      </c>
      <c r="O27" s="8">
        <v>88</v>
      </c>
      <c r="P27" s="15">
        <f t="shared" si="2"/>
        <v>8.8000000000000007</v>
      </c>
      <c r="Q27" s="10"/>
      <c r="R27" s="201" t="str">
        <f t="shared" si="3"/>
        <v>ALTO</v>
      </c>
      <c r="S27" s="202"/>
      <c r="T27" s="202"/>
      <c r="U27" s="203"/>
      <c r="V27" s="14">
        <f t="shared" si="4"/>
        <v>80.22</v>
      </c>
      <c r="W27" s="10"/>
      <c r="X27" s="10"/>
    </row>
    <row r="28" spans="1:24" ht="15.75" customHeight="1" x14ac:dyDescent="0.25">
      <c r="A28" s="6">
        <v>23</v>
      </c>
      <c r="B28" s="67" t="s">
        <v>479</v>
      </c>
      <c r="C28" s="8">
        <v>100</v>
      </c>
      <c r="D28" s="8">
        <v>100</v>
      </c>
      <c r="E28" s="8">
        <v>100</v>
      </c>
      <c r="F28" s="8"/>
      <c r="G28" s="8"/>
      <c r="H28" s="8"/>
      <c r="I28" s="8">
        <v>40</v>
      </c>
      <c r="J28" s="15">
        <f t="shared" si="0"/>
        <v>75.2</v>
      </c>
      <c r="K28" s="8">
        <v>65</v>
      </c>
      <c r="L28" s="8">
        <v>65</v>
      </c>
      <c r="M28" s="15">
        <f t="shared" si="1"/>
        <v>6.5</v>
      </c>
      <c r="N28" s="8">
        <v>65</v>
      </c>
      <c r="O28" s="8">
        <v>65</v>
      </c>
      <c r="P28" s="15">
        <f t="shared" si="2"/>
        <v>6.5</v>
      </c>
      <c r="Q28" s="10"/>
      <c r="R28" s="201" t="str">
        <f t="shared" si="3"/>
        <v>ALTO</v>
      </c>
      <c r="S28" s="202"/>
      <c r="T28" s="202"/>
      <c r="U28" s="203"/>
      <c r="V28" s="14">
        <f t="shared" si="4"/>
        <v>88.2</v>
      </c>
      <c r="W28" s="10"/>
      <c r="X28" s="10"/>
    </row>
    <row r="29" spans="1:24" ht="15.75" customHeight="1" x14ac:dyDescent="0.25">
      <c r="A29" s="6">
        <v>24</v>
      </c>
      <c r="B29" s="70" t="s">
        <v>819</v>
      </c>
      <c r="C29" s="8">
        <v>69</v>
      </c>
      <c r="D29" s="8">
        <v>46</v>
      </c>
      <c r="E29" s="8">
        <v>62</v>
      </c>
      <c r="F29" s="8"/>
      <c r="G29" s="8"/>
      <c r="H29" s="8"/>
      <c r="I29" s="8">
        <v>40</v>
      </c>
      <c r="J29" s="15">
        <f t="shared" si="0"/>
        <v>45.68</v>
      </c>
      <c r="K29" s="8">
        <v>91</v>
      </c>
      <c r="L29" s="8">
        <v>91</v>
      </c>
      <c r="M29" s="15">
        <f t="shared" si="1"/>
        <v>9.1</v>
      </c>
      <c r="N29" s="8">
        <v>81</v>
      </c>
      <c r="O29" s="8">
        <v>81</v>
      </c>
      <c r="P29" s="15">
        <f t="shared" si="2"/>
        <v>8.1</v>
      </c>
      <c r="Q29" s="10"/>
      <c r="R29" s="201" t="str">
        <f t="shared" si="3"/>
        <v>BAJO</v>
      </c>
      <c r="S29" s="202"/>
      <c r="T29" s="202"/>
      <c r="U29" s="203"/>
      <c r="V29" s="14">
        <f t="shared" si="4"/>
        <v>62.88</v>
      </c>
      <c r="W29" s="10"/>
      <c r="X29" s="10"/>
    </row>
    <row r="30" spans="1:24" ht="15.75" customHeight="1" x14ac:dyDescent="0.25">
      <c r="A30" s="6">
        <v>25</v>
      </c>
      <c r="B30" s="70" t="s">
        <v>481</v>
      </c>
      <c r="C30" s="8">
        <v>60</v>
      </c>
      <c r="D30" s="8">
        <v>93</v>
      </c>
      <c r="E30" s="8">
        <v>46</v>
      </c>
      <c r="F30" s="8"/>
      <c r="G30" s="8"/>
      <c r="H30" s="8"/>
      <c r="I30" s="8">
        <v>40</v>
      </c>
      <c r="J30" s="15">
        <f t="shared" si="0"/>
        <v>50.96</v>
      </c>
      <c r="K30" s="8">
        <v>97</v>
      </c>
      <c r="L30" s="8">
        <v>97</v>
      </c>
      <c r="M30" s="15">
        <f t="shared" si="1"/>
        <v>9.7000000000000011</v>
      </c>
      <c r="N30" s="8">
        <v>97</v>
      </c>
      <c r="O30" s="8">
        <v>97</v>
      </c>
      <c r="P30" s="15">
        <f t="shared" si="2"/>
        <v>9.7000000000000011</v>
      </c>
      <c r="Q30" s="10"/>
      <c r="R30" s="201" t="str">
        <f t="shared" si="3"/>
        <v>BASICO</v>
      </c>
      <c r="S30" s="202"/>
      <c r="T30" s="202"/>
      <c r="U30" s="203"/>
      <c r="V30" s="14">
        <f t="shared" si="4"/>
        <v>70.36</v>
      </c>
      <c r="W30" s="10"/>
      <c r="X30" s="10"/>
    </row>
    <row r="31" spans="1:24" ht="15.75" customHeight="1" x14ac:dyDescent="0.25">
      <c r="A31" s="6">
        <v>26</v>
      </c>
      <c r="B31" s="67" t="s">
        <v>482</v>
      </c>
      <c r="C31" s="8">
        <v>100</v>
      </c>
      <c r="D31" s="8">
        <v>40</v>
      </c>
      <c r="E31" s="8">
        <v>32</v>
      </c>
      <c r="F31" s="8"/>
      <c r="G31" s="8"/>
      <c r="H31" s="8"/>
      <c r="I31" s="8">
        <v>60</v>
      </c>
      <c r="J31" s="15">
        <f t="shared" si="0"/>
        <v>46.08</v>
      </c>
      <c r="K31" s="8">
        <v>88</v>
      </c>
      <c r="L31" s="8">
        <v>88</v>
      </c>
      <c r="M31" s="15">
        <f t="shared" si="1"/>
        <v>8.8000000000000007</v>
      </c>
      <c r="N31" s="8">
        <v>83</v>
      </c>
      <c r="O31" s="8">
        <v>83</v>
      </c>
      <c r="P31" s="15">
        <f t="shared" si="2"/>
        <v>8.3000000000000007</v>
      </c>
      <c r="Q31" s="10"/>
      <c r="R31" s="201" t="str">
        <f t="shared" si="3"/>
        <v>BAJO</v>
      </c>
      <c r="S31" s="202"/>
      <c r="T31" s="202"/>
      <c r="U31" s="203"/>
      <c r="V31" s="14">
        <f t="shared" si="4"/>
        <v>63.179999999999993</v>
      </c>
      <c r="W31" s="10"/>
      <c r="X31" s="10"/>
    </row>
    <row r="32" spans="1:24" ht="15.75" customHeight="1" x14ac:dyDescent="0.25">
      <c r="A32" s="6">
        <v>27</v>
      </c>
      <c r="B32" s="70" t="s">
        <v>820</v>
      </c>
      <c r="C32" s="8">
        <v>100</v>
      </c>
      <c r="D32" s="8">
        <v>100</v>
      </c>
      <c r="E32" s="8">
        <v>100</v>
      </c>
      <c r="F32" s="8"/>
      <c r="G32" s="8"/>
      <c r="H32" s="8"/>
      <c r="I32" s="8">
        <v>40</v>
      </c>
      <c r="J32" s="15">
        <f t="shared" si="0"/>
        <v>75.2</v>
      </c>
      <c r="K32" s="8">
        <v>65</v>
      </c>
      <c r="L32" s="8">
        <v>65</v>
      </c>
      <c r="M32" s="15">
        <f t="shared" si="1"/>
        <v>6.5</v>
      </c>
      <c r="N32" s="8">
        <v>65</v>
      </c>
      <c r="O32" s="8">
        <v>65</v>
      </c>
      <c r="P32" s="15">
        <f t="shared" si="2"/>
        <v>6.5</v>
      </c>
      <c r="Q32" s="10"/>
      <c r="R32" s="201" t="str">
        <f t="shared" si="3"/>
        <v>ALTO</v>
      </c>
      <c r="S32" s="202"/>
      <c r="T32" s="202"/>
      <c r="U32" s="203"/>
      <c r="V32" s="14">
        <f t="shared" si="4"/>
        <v>88.2</v>
      </c>
      <c r="W32" s="10"/>
      <c r="X32" s="10"/>
    </row>
    <row r="33" spans="1:24" ht="15.75" customHeight="1" x14ac:dyDescent="0.25">
      <c r="A33" s="6">
        <v>28</v>
      </c>
      <c r="B33" s="67" t="s">
        <v>483</v>
      </c>
      <c r="C33" s="8">
        <v>96</v>
      </c>
      <c r="D33" s="8">
        <v>47</v>
      </c>
      <c r="E33" s="8">
        <v>58</v>
      </c>
      <c r="F33" s="8"/>
      <c r="G33" s="8"/>
      <c r="H33" s="8"/>
      <c r="I33" s="8">
        <v>40</v>
      </c>
      <c r="J33" s="15">
        <f t="shared" si="0"/>
        <v>51.44</v>
      </c>
      <c r="K33" s="8">
        <v>96</v>
      </c>
      <c r="L33" s="8">
        <v>96</v>
      </c>
      <c r="M33" s="15">
        <f t="shared" si="1"/>
        <v>9.6000000000000014</v>
      </c>
      <c r="N33" s="8">
        <v>100</v>
      </c>
      <c r="O33" s="8">
        <v>100</v>
      </c>
      <c r="P33" s="15">
        <f t="shared" si="2"/>
        <v>10</v>
      </c>
      <c r="Q33" s="10"/>
      <c r="R33" s="201" t="str">
        <f t="shared" si="3"/>
        <v>BASICO</v>
      </c>
      <c r="S33" s="202"/>
      <c r="T33" s="202"/>
      <c r="U33" s="203"/>
      <c r="V33" s="14">
        <f t="shared" si="4"/>
        <v>71.039999999999992</v>
      </c>
      <c r="W33" s="10"/>
      <c r="X33" s="10"/>
    </row>
    <row r="34" spans="1:24" ht="15.75" customHeight="1" x14ac:dyDescent="0.25">
      <c r="A34" s="6">
        <v>29</v>
      </c>
      <c r="B34" s="70" t="s">
        <v>484</v>
      </c>
      <c r="C34" s="8">
        <v>100</v>
      </c>
      <c r="D34" s="8">
        <v>100</v>
      </c>
      <c r="E34" s="8">
        <v>100</v>
      </c>
      <c r="F34" s="8"/>
      <c r="G34" s="8"/>
      <c r="H34" s="8"/>
      <c r="I34" s="8">
        <v>40</v>
      </c>
      <c r="J34" s="15">
        <f t="shared" si="0"/>
        <v>75.2</v>
      </c>
      <c r="K34" s="8">
        <v>65</v>
      </c>
      <c r="L34" s="8">
        <v>65</v>
      </c>
      <c r="M34" s="15">
        <f t="shared" si="1"/>
        <v>6.5</v>
      </c>
      <c r="N34" s="8">
        <v>65</v>
      </c>
      <c r="O34" s="8">
        <v>65</v>
      </c>
      <c r="P34" s="15">
        <f t="shared" si="2"/>
        <v>6.5</v>
      </c>
      <c r="Q34" s="10"/>
      <c r="R34" s="201" t="str">
        <f t="shared" si="3"/>
        <v>ALTO</v>
      </c>
      <c r="S34" s="202"/>
      <c r="T34" s="202"/>
      <c r="U34" s="203"/>
      <c r="V34" s="14">
        <f t="shared" si="4"/>
        <v>88.2</v>
      </c>
      <c r="W34" s="10"/>
      <c r="X34" s="10"/>
    </row>
    <row r="35" spans="1:24" ht="15.75" customHeight="1" x14ac:dyDescent="0.25">
      <c r="A35" s="6">
        <v>30</v>
      </c>
      <c r="B35" s="71" t="s">
        <v>508</v>
      </c>
      <c r="C35" s="8">
        <v>97</v>
      </c>
      <c r="D35" s="8">
        <v>80</v>
      </c>
      <c r="E35" s="8">
        <v>68</v>
      </c>
      <c r="F35" s="8"/>
      <c r="G35" s="8"/>
      <c r="H35" s="8"/>
      <c r="I35" s="8">
        <v>40</v>
      </c>
      <c r="J35" s="15">
        <f t="shared" si="0"/>
        <v>62.000000000000007</v>
      </c>
      <c r="K35" s="8">
        <v>97</v>
      </c>
      <c r="L35" s="8">
        <v>97</v>
      </c>
      <c r="M35" s="15">
        <f t="shared" si="1"/>
        <v>9.7000000000000011</v>
      </c>
      <c r="N35" s="8">
        <v>84</v>
      </c>
      <c r="O35" s="8">
        <v>84</v>
      </c>
      <c r="P35" s="15">
        <f t="shared" si="2"/>
        <v>8.4</v>
      </c>
      <c r="Q35" s="10"/>
      <c r="R35" s="201" t="str">
        <f t="shared" si="3"/>
        <v>ALTO</v>
      </c>
      <c r="S35" s="202"/>
      <c r="T35" s="202"/>
      <c r="U35" s="203"/>
      <c r="V35" s="14">
        <f t="shared" si="4"/>
        <v>80.100000000000009</v>
      </c>
      <c r="W35" s="10"/>
      <c r="X35" s="10"/>
    </row>
    <row r="36" spans="1:24" ht="15.75" customHeight="1" x14ac:dyDescent="0.25">
      <c r="A36" s="6">
        <v>31</v>
      </c>
      <c r="B36" s="70" t="s">
        <v>486</v>
      </c>
      <c r="C36" s="8">
        <v>93</v>
      </c>
      <c r="D36" s="8">
        <v>89</v>
      </c>
      <c r="E36" s="8">
        <v>90</v>
      </c>
      <c r="F36" s="8"/>
      <c r="G36" s="8"/>
      <c r="H36" s="8"/>
      <c r="I36" s="8">
        <v>40</v>
      </c>
      <c r="J36" s="15">
        <f t="shared" si="0"/>
        <v>68.48</v>
      </c>
      <c r="K36" s="8">
        <v>87</v>
      </c>
      <c r="L36" s="8">
        <v>87</v>
      </c>
      <c r="M36" s="15">
        <f t="shared" si="1"/>
        <v>8.7000000000000011</v>
      </c>
      <c r="N36" s="8">
        <v>83</v>
      </c>
      <c r="O36" s="8">
        <v>83</v>
      </c>
      <c r="P36" s="15">
        <f t="shared" si="2"/>
        <v>8.3000000000000007</v>
      </c>
      <c r="Q36" s="10"/>
      <c r="R36" s="201" t="str">
        <f t="shared" si="3"/>
        <v>ALTO</v>
      </c>
      <c r="S36" s="202"/>
      <c r="T36" s="202"/>
      <c r="U36" s="203"/>
      <c r="V36" s="14">
        <f t="shared" si="4"/>
        <v>85.48</v>
      </c>
      <c r="W36" s="10"/>
      <c r="X36" s="10"/>
    </row>
    <row r="37" spans="1:24" ht="15.75" customHeight="1" x14ac:dyDescent="0.25">
      <c r="A37" s="6">
        <v>32</v>
      </c>
      <c r="B37" s="67" t="s">
        <v>821</v>
      </c>
      <c r="C37" s="8">
        <v>98</v>
      </c>
      <c r="D37" s="8">
        <v>100</v>
      </c>
      <c r="E37" s="8">
        <v>48</v>
      </c>
      <c r="F37" s="8"/>
      <c r="G37" s="8"/>
      <c r="H37" s="8"/>
      <c r="I37" s="8">
        <v>60</v>
      </c>
      <c r="J37" s="15">
        <f t="shared" si="0"/>
        <v>63.839999999999996</v>
      </c>
      <c r="K37" s="8">
        <v>98</v>
      </c>
      <c r="L37" s="8">
        <v>98</v>
      </c>
      <c r="M37" s="15">
        <f t="shared" si="1"/>
        <v>9.8000000000000007</v>
      </c>
      <c r="N37" s="8">
        <v>92</v>
      </c>
      <c r="O37" s="8">
        <v>92</v>
      </c>
      <c r="P37" s="15">
        <f t="shared" si="2"/>
        <v>9.2000000000000011</v>
      </c>
      <c r="Q37" s="10"/>
      <c r="R37" s="201" t="str">
        <f t="shared" si="3"/>
        <v>ALTO</v>
      </c>
      <c r="S37" s="202"/>
      <c r="T37" s="202"/>
      <c r="U37" s="203"/>
      <c r="V37" s="14">
        <f t="shared" si="4"/>
        <v>82.84</v>
      </c>
      <c r="W37" s="10"/>
      <c r="X37" s="10"/>
    </row>
    <row r="38" spans="1:24" ht="15.75" customHeight="1" x14ac:dyDescent="0.25">
      <c r="A38" s="6">
        <v>33</v>
      </c>
      <c r="B38" s="122" t="s">
        <v>461</v>
      </c>
      <c r="C38" s="8">
        <v>95</v>
      </c>
      <c r="D38" s="8">
        <v>97</v>
      </c>
      <c r="E38" s="8">
        <v>68</v>
      </c>
      <c r="F38" s="8"/>
      <c r="G38" s="8"/>
      <c r="H38" s="8"/>
      <c r="I38" s="8">
        <v>40</v>
      </c>
      <c r="J38" s="15">
        <f t="shared" si="0"/>
        <v>65.599999999999994</v>
      </c>
      <c r="K38" s="8">
        <v>100</v>
      </c>
      <c r="L38" s="8">
        <v>100</v>
      </c>
      <c r="M38" s="15">
        <f t="shared" si="1"/>
        <v>10</v>
      </c>
      <c r="N38" s="8">
        <v>85</v>
      </c>
      <c r="O38" s="8">
        <v>85</v>
      </c>
      <c r="P38" s="15">
        <f t="shared" si="2"/>
        <v>8.5</v>
      </c>
      <c r="Q38" s="10"/>
      <c r="R38" s="201" t="str">
        <f t="shared" si="3"/>
        <v>ALTO</v>
      </c>
      <c r="S38" s="202"/>
      <c r="T38" s="202"/>
      <c r="U38" s="203"/>
      <c r="V38" s="14">
        <f t="shared" si="4"/>
        <v>84.1</v>
      </c>
      <c r="W38" s="10"/>
      <c r="X38" s="10"/>
    </row>
    <row r="39" spans="1:24" ht="15.75" customHeight="1" x14ac:dyDescent="0.25">
      <c r="A39" s="6">
        <v>34</v>
      </c>
      <c r="B39" s="70"/>
      <c r="C39" s="8"/>
      <c r="D39" s="8"/>
      <c r="E39" s="8"/>
      <c r="F39" s="8"/>
      <c r="G39" s="8"/>
      <c r="H39" s="8"/>
      <c r="I39" s="8"/>
      <c r="J39" s="15" t="e">
        <f t="shared" si="0"/>
        <v>#DIV/0!</v>
      </c>
      <c r="K39" s="8"/>
      <c r="L39" s="8"/>
      <c r="M39" s="15" t="e">
        <f t="shared" si="1"/>
        <v>#DIV/0!</v>
      </c>
      <c r="N39" s="8"/>
      <c r="O39" s="8"/>
      <c r="P39" s="15" t="e">
        <f t="shared" si="2"/>
        <v>#DIV/0!</v>
      </c>
      <c r="Q39" s="10"/>
      <c r="R39" s="201" t="e">
        <f t="shared" si="3"/>
        <v>#DIV/0!</v>
      </c>
      <c r="S39" s="202"/>
      <c r="T39" s="202"/>
      <c r="U39" s="203"/>
      <c r="V39" s="14" t="e">
        <f t="shared" si="4"/>
        <v>#DIV/0!</v>
      </c>
      <c r="W39" s="10"/>
      <c r="X39" s="10"/>
    </row>
    <row r="40" spans="1:24" ht="15.75" customHeight="1" x14ac:dyDescent="0.25">
      <c r="A40" s="6">
        <v>35</v>
      </c>
      <c r="B40" s="68"/>
      <c r="C40" s="8"/>
      <c r="D40" s="8"/>
      <c r="E40" s="8"/>
      <c r="F40" s="8"/>
      <c r="G40" s="8"/>
      <c r="H40" s="8"/>
      <c r="I40" s="8"/>
      <c r="J40" s="15" t="e">
        <f t="shared" si="0"/>
        <v>#DIV/0!</v>
      </c>
      <c r="K40" s="8"/>
      <c r="L40" s="8"/>
      <c r="M40" s="15" t="e">
        <f t="shared" si="1"/>
        <v>#DIV/0!</v>
      </c>
      <c r="N40" s="8"/>
      <c r="O40" s="8"/>
      <c r="P40" s="15" t="e">
        <f t="shared" si="2"/>
        <v>#DIV/0!</v>
      </c>
      <c r="Q40" s="10"/>
      <c r="R40" s="201" t="e">
        <f t="shared" si="3"/>
        <v>#DIV/0!</v>
      </c>
      <c r="S40" s="202"/>
      <c r="T40" s="202"/>
      <c r="U40" s="203"/>
      <c r="V40" s="14" t="e">
        <f t="shared" si="4"/>
        <v>#DIV/0!</v>
      </c>
      <c r="W40" s="10"/>
      <c r="X40" s="10"/>
    </row>
    <row r="41" spans="1:24" ht="15.75" customHeight="1" x14ac:dyDescent="0.25">
      <c r="A41" s="6">
        <v>36</v>
      </c>
      <c r="B41" s="119"/>
      <c r="C41" s="8"/>
      <c r="D41" s="8"/>
      <c r="E41" s="8"/>
      <c r="F41" s="8"/>
      <c r="G41" s="8"/>
      <c r="H41" s="8"/>
      <c r="I41" s="8"/>
      <c r="J41" s="15" t="e">
        <f t="shared" si="0"/>
        <v>#DIV/0!</v>
      </c>
      <c r="K41" s="8"/>
      <c r="L41" s="8"/>
      <c r="M41" s="15" t="e">
        <f t="shared" si="1"/>
        <v>#DIV/0!</v>
      </c>
      <c r="N41" s="8"/>
      <c r="O41" s="8"/>
      <c r="P41" s="15" t="e">
        <f t="shared" si="2"/>
        <v>#DIV/0!</v>
      </c>
      <c r="Q41" s="10"/>
      <c r="R41" s="201" t="e">
        <f t="shared" si="3"/>
        <v>#DIV/0!</v>
      </c>
      <c r="S41" s="202"/>
      <c r="T41" s="202"/>
      <c r="U41" s="203"/>
      <c r="V41" s="14" t="e">
        <f t="shared" si="4"/>
        <v>#DIV/0!</v>
      </c>
      <c r="W41" s="10"/>
      <c r="X41" s="10"/>
    </row>
    <row r="42" spans="1:24" ht="15.75" customHeight="1" x14ac:dyDescent="0.25">
      <c r="A42" s="6">
        <v>37</v>
      </c>
      <c r="B42" s="60"/>
      <c r="C42" s="8"/>
      <c r="D42" s="8"/>
      <c r="E42" s="8"/>
      <c r="F42" s="8"/>
      <c r="G42" s="8"/>
      <c r="H42" s="8"/>
      <c r="I42" s="8"/>
      <c r="J42" s="15" t="e">
        <f t="shared" si="0"/>
        <v>#DIV/0!</v>
      </c>
      <c r="K42" s="8"/>
      <c r="L42" s="8"/>
      <c r="M42" s="15" t="e">
        <f t="shared" si="1"/>
        <v>#DIV/0!</v>
      </c>
      <c r="N42" s="8"/>
      <c r="O42" s="8"/>
      <c r="P42" s="15" t="e">
        <f t="shared" si="2"/>
        <v>#DIV/0!</v>
      </c>
      <c r="Q42" s="10"/>
      <c r="R42" s="201" t="e">
        <f t="shared" si="3"/>
        <v>#DIV/0!</v>
      </c>
      <c r="S42" s="202"/>
      <c r="T42" s="202"/>
      <c r="U42" s="203"/>
      <c r="V42" s="14" t="e">
        <f t="shared" si="4"/>
        <v>#DIV/0!</v>
      </c>
      <c r="W42" s="10"/>
      <c r="X42" s="10"/>
    </row>
    <row r="43" spans="1:24" ht="15.75" customHeight="1" x14ac:dyDescent="0.25">
      <c r="A43" s="6">
        <v>38</v>
      </c>
      <c r="B43" s="60"/>
      <c r="C43" s="8"/>
      <c r="D43" s="8"/>
      <c r="E43" s="8"/>
      <c r="F43" s="8"/>
      <c r="G43" s="8"/>
      <c r="H43" s="8"/>
      <c r="I43" s="8"/>
      <c r="J43" s="15" t="e">
        <f t="shared" si="0"/>
        <v>#DIV/0!</v>
      </c>
      <c r="K43" s="8"/>
      <c r="L43" s="8"/>
      <c r="M43" s="15" t="e">
        <f t="shared" si="1"/>
        <v>#DIV/0!</v>
      </c>
      <c r="N43" s="8"/>
      <c r="O43" s="8"/>
      <c r="P43" s="15" t="e">
        <f t="shared" si="2"/>
        <v>#DIV/0!</v>
      </c>
      <c r="Q43" s="10"/>
      <c r="R43" s="201" t="e">
        <f t="shared" si="3"/>
        <v>#DIV/0!</v>
      </c>
      <c r="S43" s="202"/>
      <c r="T43" s="202"/>
      <c r="U43" s="203"/>
      <c r="V43" s="14" t="e">
        <f t="shared" si="4"/>
        <v>#DIV/0!</v>
      </c>
      <c r="W43" s="10"/>
      <c r="X43" s="10"/>
    </row>
    <row r="44" spans="1:24" ht="15.75" customHeight="1" x14ac:dyDescent="0.25">
      <c r="A44" s="6">
        <v>39</v>
      </c>
      <c r="B44" s="60"/>
      <c r="C44" s="8"/>
      <c r="D44" s="8"/>
      <c r="E44" s="8"/>
      <c r="F44" s="8"/>
      <c r="G44" s="8"/>
      <c r="H44" s="8"/>
      <c r="I44" s="8"/>
      <c r="J44" s="15" t="e">
        <f t="shared" si="0"/>
        <v>#DIV/0!</v>
      </c>
      <c r="K44" s="8"/>
      <c r="L44" s="8"/>
      <c r="M44" s="15" t="e">
        <f t="shared" si="1"/>
        <v>#DIV/0!</v>
      </c>
      <c r="N44" s="8"/>
      <c r="O44" s="8"/>
      <c r="P44" s="15" t="e">
        <f t="shared" si="2"/>
        <v>#DIV/0!</v>
      </c>
      <c r="Q44" s="10"/>
      <c r="R44" s="201" t="e">
        <f t="shared" si="3"/>
        <v>#DIV/0!</v>
      </c>
      <c r="S44" s="202"/>
      <c r="T44" s="202"/>
      <c r="U44" s="203"/>
      <c r="V44" s="14" t="e">
        <f t="shared" si="4"/>
        <v>#DIV/0!</v>
      </c>
      <c r="W44" s="10"/>
      <c r="X44" s="10"/>
    </row>
    <row r="45" spans="1:24" ht="15.75" customHeight="1" x14ac:dyDescent="0.25">
      <c r="A45" s="6">
        <v>40</v>
      </c>
      <c r="B45" s="60"/>
      <c r="C45" s="8"/>
      <c r="D45" s="8"/>
      <c r="E45" s="8"/>
      <c r="F45" s="8"/>
      <c r="G45" s="8"/>
      <c r="H45" s="8"/>
      <c r="I45" s="8"/>
      <c r="J45" s="15" t="e">
        <f t="shared" si="0"/>
        <v>#DIV/0!</v>
      </c>
      <c r="K45" s="8"/>
      <c r="L45" s="8"/>
      <c r="M45" s="15" t="e">
        <f t="shared" si="1"/>
        <v>#DIV/0!</v>
      </c>
      <c r="N45" s="8"/>
      <c r="O45" s="8"/>
      <c r="P45" s="15" t="e">
        <f t="shared" si="2"/>
        <v>#DIV/0!</v>
      </c>
      <c r="Q45" s="10"/>
      <c r="R45" s="201" t="e">
        <f t="shared" si="3"/>
        <v>#DIV/0!</v>
      </c>
      <c r="S45" s="202"/>
      <c r="T45" s="202"/>
      <c r="U45" s="203"/>
      <c r="V45" s="14" t="e">
        <f t="shared" si="4"/>
        <v>#DIV/0!</v>
      </c>
      <c r="W45" s="10"/>
      <c r="X45" s="10"/>
    </row>
    <row r="46" spans="1:24" ht="15.75" customHeight="1" x14ac:dyDescent="0.25">
      <c r="A46" s="6">
        <v>41</v>
      </c>
      <c r="B46" s="60"/>
      <c r="C46" s="8"/>
      <c r="D46" s="8"/>
      <c r="E46" s="8"/>
      <c r="F46" s="8"/>
      <c r="G46" s="8"/>
      <c r="H46" s="8"/>
      <c r="I46" s="8"/>
      <c r="J46" s="15" t="e">
        <f t="shared" si="0"/>
        <v>#DIV/0!</v>
      </c>
      <c r="K46" s="8"/>
      <c r="L46" s="8"/>
      <c r="M46" s="15" t="e">
        <f t="shared" si="1"/>
        <v>#DIV/0!</v>
      </c>
      <c r="N46" s="8"/>
      <c r="O46" s="8"/>
      <c r="P46" s="15" t="e">
        <f t="shared" si="2"/>
        <v>#DIV/0!</v>
      </c>
      <c r="Q46" s="10"/>
      <c r="R46" s="201" t="e">
        <f t="shared" si="3"/>
        <v>#DIV/0!</v>
      </c>
      <c r="S46" s="202"/>
      <c r="T46" s="202"/>
      <c r="U46" s="203"/>
      <c r="V46" s="14" t="e">
        <f t="shared" si="4"/>
        <v>#DIV/0!</v>
      </c>
      <c r="W46" s="10"/>
      <c r="X46" s="10"/>
    </row>
    <row r="47" spans="1:24" ht="15.75" customHeight="1" x14ac:dyDescent="0.25">
      <c r="A47" s="6">
        <v>42</v>
      </c>
      <c r="B47" s="60"/>
      <c r="C47" s="8"/>
      <c r="D47" s="8"/>
      <c r="E47" s="8"/>
      <c r="F47" s="8"/>
      <c r="G47" s="8"/>
      <c r="H47" s="8"/>
      <c r="I47" s="8"/>
      <c r="J47" s="15" t="e">
        <f t="shared" si="0"/>
        <v>#DIV/0!</v>
      </c>
      <c r="K47" s="8"/>
      <c r="L47" s="8"/>
      <c r="M47" s="15" t="e">
        <f t="shared" si="1"/>
        <v>#DIV/0!</v>
      </c>
      <c r="N47" s="8"/>
      <c r="O47" s="8"/>
      <c r="P47" s="15" t="e">
        <f t="shared" si="2"/>
        <v>#DIV/0!</v>
      </c>
      <c r="Q47" s="10"/>
      <c r="R47" s="201" t="e">
        <f t="shared" si="3"/>
        <v>#DIV/0!</v>
      </c>
      <c r="S47" s="202"/>
      <c r="T47" s="202"/>
      <c r="U47" s="203"/>
      <c r="V47" s="14" t="e">
        <f t="shared" si="4"/>
        <v>#DIV/0!</v>
      </c>
      <c r="W47" s="10"/>
      <c r="X47" s="10"/>
    </row>
    <row r="48" spans="1:24" ht="15.75" customHeight="1" x14ac:dyDescent="0.25">
      <c r="A48" s="6">
        <v>43</v>
      </c>
      <c r="B48" s="60"/>
      <c r="C48" s="8"/>
      <c r="D48" s="8"/>
      <c r="E48" s="8"/>
      <c r="F48" s="8"/>
      <c r="G48" s="8"/>
      <c r="H48" s="8"/>
      <c r="I48" s="8"/>
      <c r="J48" s="15" t="e">
        <f t="shared" si="0"/>
        <v>#DIV/0!</v>
      </c>
      <c r="K48" s="8"/>
      <c r="L48" s="8"/>
      <c r="M48" s="15" t="e">
        <f t="shared" si="1"/>
        <v>#DIV/0!</v>
      </c>
      <c r="N48" s="8"/>
      <c r="O48" s="8"/>
      <c r="P48" s="15" t="e">
        <f t="shared" si="2"/>
        <v>#DIV/0!</v>
      </c>
      <c r="Q48" s="10"/>
      <c r="R48" s="201" t="e">
        <f t="shared" si="3"/>
        <v>#DIV/0!</v>
      </c>
      <c r="S48" s="202"/>
      <c r="T48" s="202"/>
      <c r="U48" s="203"/>
      <c r="V48" s="14" t="e">
        <f t="shared" si="4"/>
        <v>#DIV/0!</v>
      </c>
      <c r="W48" s="10"/>
      <c r="X48" s="10"/>
    </row>
    <row r="49" spans="1:24" ht="15.75" customHeight="1" x14ac:dyDescent="0.25">
      <c r="A49" s="6">
        <v>44</v>
      </c>
      <c r="B49" s="60"/>
      <c r="C49" s="8"/>
      <c r="D49" s="8"/>
      <c r="E49" s="8"/>
      <c r="F49" s="8"/>
      <c r="G49" s="8"/>
      <c r="H49" s="8"/>
      <c r="I49" s="8"/>
      <c r="J49" s="15" t="e">
        <f t="shared" si="0"/>
        <v>#DIV/0!</v>
      </c>
      <c r="K49" s="8"/>
      <c r="L49" s="8"/>
      <c r="M49" s="15" t="e">
        <f t="shared" si="1"/>
        <v>#DIV/0!</v>
      </c>
      <c r="N49" s="8"/>
      <c r="O49" s="8"/>
      <c r="P49" s="15" t="e">
        <f t="shared" si="2"/>
        <v>#DIV/0!</v>
      </c>
      <c r="Q49" s="10"/>
      <c r="R49" s="201" t="e">
        <f t="shared" si="3"/>
        <v>#DIV/0!</v>
      </c>
      <c r="S49" s="202"/>
      <c r="T49" s="202"/>
      <c r="U49" s="203"/>
      <c r="V49" s="14" t="e">
        <f t="shared" si="4"/>
        <v>#DIV/0!</v>
      </c>
      <c r="W49" s="10"/>
      <c r="X49" s="10"/>
    </row>
    <row r="50" spans="1:24" ht="15.75" customHeight="1" x14ac:dyDescent="0.25">
      <c r="A50" s="6">
        <v>45</v>
      </c>
      <c r="B50" s="60"/>
      <c r="C50" s="8"/>
      <c r="D50" s="8"/>
      <c r="E50" s="8"/>
      <c r="F50" s="8"/>
      <c r="G50" s="8"/>
      <c r="H50" s="8"/>
      <c r="I50" s="8"/>
      <c r="J50" s="15" t="e">
        <f t="shared" si="0"/>
        <v>#DIV/0!</v>
      </c>
      <c r="K50" s="8"/>
      <c r="L50" s="8"/>
      <c r="M50" s="15" t="e">
        <f t="shared" si="1"/>
        <v>#DIV/0!</v>
      </c>
      <c r="N50" s="8"/>
      <c r="O50" s="8"/>
      <c r="P50" s="15" t="e">
        <f t="shared" si="2"/>
        <v>#DIV/0!</v>
      </c>
      <c r="Q50" s="10"/>
      <c r="R50" s="201" t="e">
        <f t="shared" si="3"/>
        <v>#DIV/0!</v>
      </c>
      <c r="S50" s="202"/>
      <c r="T50" s="202"/>
      <c r="U50" s="203"/>
      <c r="V50" s="14" t="e">
        <f t="shared" si="4"/>
        <v>#DIV/0!</v>
      </c>
      <c r="W50" s="10"/>
      <c r="X50" s="10"/>
    </row>
    <row r="51" spans="1:24" ht="15.75" customHeight="1" thickBot="1" x14ac:dyDescent="0.3">
      <c r="A51" s="16">
        <v>46</v>
      </c>
      <c r="B51" s="61"/>
      <c r="C51" s="13"/>
      <c r="D51" s="13"/>
      <c r="E51" s="13"/>
      <c r="F51" s="13"/>
      <c r="G51" s="13"/>
      <c r="H51" s="13"/>
      <c r="I51" s="13"/>
      <c r="J51" s="15" t="e">
        <f t="shared" si="0"/>
        <v>#DIV/0!</v>
      </c>
      <c r="K51" s="13"/>
      <c r="L51" s="13"/>
      <c r="M51" s="18" t="e">
        <f t="shared" si="1"/>
        <v>#DIV/0!</v>
      </c>
      <c r="N51" s="13"/>
      <c r="O51" s="13"/>
      <c r="P51" s="18" t="e">
        <f t="shared" si="2"/>
        <v>#DIV/0!</v>
      </c>
      <c r="Q51" s="19"/>
      <c r="R51" s="274" t="e">
        <f t="shared" si="3"/>
        <v>#DIV/0!</v>
      </c>
      <c r="S51" s="275"/>
      <c r="T51" s="275"/>
      <c r="U51" s="276"/>
      <c r="V51" s="20" t="e">
        <f t="shared" si="4"/>
        <v>#DIV/0!</v>
      </c>
      <c r="W51" s="10"/>
      <c r="X51" s="10"/>
    </row>
    <row r="52" spans="1:24" ht="15.75" customHeight="1" x14ac:dyDescent="0.25">
      <c r="A52" s="263"/>
      <c r="B52" s="311"/>
      <c r="C52" s="257"/>
      <c r="D52" s="257"/>
      <c r="E52" s="267"/>
      <c r="F52" s="270"/>
      <c r="G52" s="270"/>
      <c r="H52" s="270"/>
      <c r="I52" s="270"/>
      <c r="J52" s="272"/>
      <c r="K52" s="272"/>
      <c r="L52" s="257"/>
      <c r="M52" s="259"/>
      <c r="N52" s="259"/>
      <c r="O52" s="259"/>
      <c r="P52" s="259"/>
      <c r="Q52" s="261"/>
      <c r="R52" s="277"/>
      <c r="S52" s="278"/>
      <c r="T52" s="279"/>
      <c r="U52" s="283"/>
      <c r="V52" s="284"/>
      <c r="W52" s="255"/>
      <c r="X52" s="181"/>
    </row>
    <row r="53" spans="1:24" ht="15.75" customHeight="1" x14ac:dyDescent="0.25">
      <c r="A53" s="264"/>
      <c r="B53" s="312"/>
      <c r="C53" s="205"/>
      <c r="D53" s="205"/>
      <c r="E53" s="210"/>
      <c r="F53" s="211"/>
      <c r="G53" s="211"/>
      <c r="H53" s="211"/>
      <c r="I53" s="211"/>
      <c r="J53" s="204"/>
      <c r="K53" s="204"/>
      <c r="L53" s="205"/>
      <c r="M53" s="185"/>
      <c r="N53" s="185"/>
      <c r="O53" s="185"/>
      <c r="P53" s="185"/>
      <c r="Q53" s="187"/>
      <c r="R53" s="188"/>
      <c r="S53" s="189"/>
      <c r="T53" s="190"/>
      <c r="U53" s="194"/>
      <c r="V53" s="285"/>
      <c r="W53" s="255"/>
      <c r="X53" s="181"/>
    </row>
    <row r="54" spans="1:24" ht="15.75" customHeight="1" x14ac:dyDescent="0.25">
      <c r="A54" s="264"/>
      <c r="B54" s="313"/>
      <c r="C54" s="205"/>
      <c r="D54" s="205"/>
      <c r="E54" s="210"/>
      <c r="F54" s="211"/>
      <c r="G54" s="211"/>
      <c r="H54" s="211"/>
      <c r="I54" s="211"/>
      <c r="J54" s="204"/>
      <c r="K54" s="204"/>
      <c r="L54" s="205"/>
      <c r="M54" s="185"/>
      <c r="N54" s="185"/>
      <c r="O54" s="185"/>
      <c r="P54" s="185"/>
      <c r="Q54" s="187"/>
      <c r="R54" s="188"/>
      <c r="S54" s="189"/>
      <c r="T54" s="190"/>
      <c r="U54" s="194"/>
      <c r="V54" s="285"/>
      <c r="W54" s="255"/>
      <c r="X54" s="181"/>
    </row>
    <row r="55" spans="1:24" ht="60" customHeight="1" thickBot="1" x14ac:dyDescent="0.3">
      <c r="A55" s="265"/>
      <c r="B55" s="314"/>
      <c r="C55" s="258"/>
      <c r="D55" s="258"/>
      <c r="E55" s="268"/>
      <c r="F55" s="271"/>
      <c r="G55" s="271"/>
      <c r="H55" s="271"/>
      <c r="I55" s="271"/>
      <c r="J55" s="273"/>
      <c r="K55" s="273"/>
      <c r="L55" s="258"/>
      <c r="M55" s="260"/>
      <c r="N55" s="260"/>
      <c r="O55" s="260"/>
      <c r="P55" s="260"/>
      <c r="Q55" s="289"/>
      <c r="R55" s="188"/>
      <c r="S55" s="189"/>
      <c r="T55" s="190"/>
      <c r="U55" s="194"/>
      <c r="V55" s="285"/>
      <c r="W55" s="255"/>
      <c r="X55" s="181"/>
    </row>
    <row r="56" spans="1:24" ht="87.75" customHeight="1" thickBot="1" x14ac:dyDescent="0.3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5"/>
      <c r="Q56" s="310"/>
      <c r="R56" s="228"/>
      <c r="S56" s="228"/>
      <c r="T56" s="228"/>
      <c r="U56" s="228"/>
      <c r="V56" s="228"/>
      <c r="W56" s="228"/>
      <c r="X56" s="229"/>
    </row>
    <row r="57" spans="1:24" ht="15.75" thickBot="1" x14ac:dyDescent="0.3">
      <c r="A57" s="218" t="s">
        <v>18</v>
      </c>
      <c r="B57" s="219"/>
      <c r="C57" s="220" t="s">
        <v>931</v>
      </c>
      <c r="D57" s="221"/>
      <c r="E57" s="221"/>
      <c r="F57" s="221"/>
      <c r="G57" s="221"/>
      <c r="H57" s="221"/>
      <c r="I57" s="222"/>
      <c r="J57" s="223" t="s">
        <v>20</v>
      </c>
      <c r="K57" s="224"/>
      <c r="L57" s="224"/>
      <c r="M57" s="224"/>
      <c r="N57" s="225"/>
      <c r="O57" s="225"/>
      <c r="P57" s="225"/>
      <c r="Q57" s="226"/>
      <c r="R57" s="227" t="s">
        <v>31</v>
      </c>
      <c r="S57" s="228"/>
      <c r="T57" s="228"/>
      <c r="U57" s="228"/>
      <c r="V57" s="228"/>
      <c r="W57" s="228"/>
      <c r="X57" s="229"/>
    </row>
    <row r="58" spans="1:24" ht="20.25" customHeight="1" x14ac:dyDescent="0.25">
      <c r="A58" s="230" t="s">
        <v>0</v>
      </c>
      <c r="B58" s="307" t="s">
        <v>1</v>
      </c>
      <c r="C58" s="235" t="s">
        <v>12</v>
      </c>
      <c r="D58" s="235"/>
      <c r="E58" s="235"/>
      <c r="F58" s="235"/>
      <c r="G58" s="235"/>
      <c r="H58" s="235"/>
      <c r="I58" s="235"/>
      <c r="J58" s="235"/>
      <c r="K58" s="236" t="s">
        <v>13</v>
      </c>
      <c r="L58" s="237"/>
      <c r="M58" s="237"/>
      <c r="N58" s="240" t="s">
        <v>15</v>
      </c>
      <c r="O58" s="240"/>
      <c r="P58" s="240"/>
      <c r="Q58" s="241" t="s">
        <v>4</v>
      </c>
      <c r="R58" s="244" t="s">
        <v>11</v>
      </c>
      <c r="S58" s="244"/>
      <c r="T58" s="244"/>
      <c r="U58" s="244"/>
      <c r="V58" s="244"/>
      <c r="W58" s="246" t="s">
        <v>2</v>
      </c>
      <c r="X58" s="247"/>
    </row>
    <row r="59" spans="1:24" ht="15" customHeight="1" x14ac:dyDescent="0.25">
      <c r="A59" s="231"/>
      <c r="B59" s="308"/>
      <c r="C59" s="248" t="s">
        <v>6</v>
      </c>
      <c r="D59" s="248" t="s">
        <v>17</v>
      </c>
      <c r="E59" s="248" t="s">
        <v>5</v>
      </c>
      <c r="F59" s="250"/>
      <c r="G59" s="250"/>
      <c r="H59" s="250"/>
      <c r="I59" s="251" t="s">
        <v>16</v>
      </c>
      <c r="J59" s="253" t="s">
        <v>14</v>
      </c>
      <c r="K59" s="238"/>
      <c r="L59" s="239"/>
      <c r="M59" s="239"/>
      <c r="N59" s="240"/>
      <c r="O59" s="240"/>
      <c r="P59" s="240"/>
      <c r="Q59" s="242"/>
      <c r="R59" s="245"/>
      <c r="S59" s="245"/>
      <c r="T59" s="245"/>
      <c r="U59" s="245"/>
      <c r="V59" s="245"/>
      <c r="W59" s="187"/>
      <c r="X59" s="187"/>
    </row>
    <row r="60" spans="1:24" ht="45" customHeight="1" x14ac:dyDescent="0.25">
      <c r="A60" s="232"/>
      <c r="B60" s="309"/>
      <c r="C60" s="249"/>
      <c r="D60" s="249"/>
      <c r="E60" s="249"/>
      <c r="F60" s="249"/>
      <c r="G60" s="249"/>
      <c r="H60" s="249"/>
      <c r="I60" s="252"/>
      <c r="J60" s="254"/>
      <c r="K60" s="2" t="s">
        <v>9</v>
      </c>
      <c r="L60" s="2" t="s">
        <v>10</v>
      </c>
      <c r="M60" s="21" t="s">
        <v>3</v>
      </c>
      <c r="N60" s="2" t="s">
        <v>9</v>
      </c>
      <c r="O60" s="2" t="s">
        <v>10</v>
      </c>
      <c r="P60" s="22" t="s">
        <v>3</v>
      </c>
      <c r="Q60" s="243"/>
      <c r="R60" s="198" t="s">
        <v>7</v>
      </c>
      <c r="S60" s="199"/>
      <c r="T60" s="199"/>
      <c r="U60" s="200"/>
      <c r="V60" s="23" t="s">
        <v>8</v>
      </c>
      <c r="W60" s="5">
        <v>1</v>
      </c>
      <c r="X60" s="5">
        <v>2</v>
      </c>
    </row>
    <row r="61" spans="1:24" x14ac:dyDescent="0.25">
      <c r="A61" s="6">
        <v>1</v>
      </c>
      <c r="B61" s="167" t="s">
        <v>487</v>
      </c>
      <c r="C61" s="8">
        <v>75</v>
      </c>
      <c r="D61" s="8">
        <v>59</v>
      </c>
      <c r="E61" s="8">
        <v>61</v>
      </c>
      <c r="F61" s="8"/>
      <c r="G61" s="8"/>
      <c r="H61" s="8"/>
      <c r="I61" s="9">
        <v>40</v>
      </c>
      <c r="J61" s="15">
        <f>((AVERAGE(C61:H61))*72%)+I61*8%</f>
        <v>50</v>
      </c>
      <c r="K61" s="8">
        <v>83</v>
      </c>
      <c r="L61" s="8">
        <v>83</v>
      </c>
      <c r="M61" s="15">
        <f>(AVERAGE(K61:L61))*10%</f>
        <v>8.3000000000000007</v>
      </c>
      <c r="N61" s="9">
        <v>91</v>
      </c>
      <c r="O61" s="9">
        <v>91</v>
      </c>
      <c r="P61" s="15">
        <f>(AVERAGE(N61:O61))*10%</f>
        <v>9.1</v>
      </c>
      <c r="Q61" s="8"/>
      <c r="R61" s="201" t="str">
        <f>IF(V61&lt;65,"BAJO",IF(V61&lt;=79,"BASICO",IF(V61&lt;=89,"ALTO",IF(V61&lt;=100,"SUPERIOR"))))</f>
        <v>BASICO</v>
      </c>
      <c r="S61" s="202"/>
      <c r="T61" s="202"/>
      <c r="U61" s="203"/>
      <c r="V61" s="14">
        <f>J61+M61+P61</f>
        <v>67.399999999999991</v>
      </c>
      <c r="W61" s="10"/>
      <c r="X61" s="10"/>
    </row>
    <row r="62" spans="1:24" x14ac:dyDescent="0.25">
      <c r="A62" s="6">
        <v>2</v>
      </c>
      <c r="B62" s="77" t="s">
        <v>90</v>
      </c>
      <c r="C62" s="8">
        <v>40</v>
      </c>
      <c r="D62" s="8">
        <v>85</v>
      </c>
      <c r="E62" s="8">
        <v>50</v>
      </c>
      <c r="F62" s="8"/>
      <c r="G62" s="8"/>
      <c r="H62" s="8"/>
      <c r="I62" s="9">
        <v>40</v>
      </c>
      <c r="J62" s="15">
        <f t="shared" ref="J62:J103" si="5">((AVERAGE(C62:H62))*72%)+I62*8%</f>
        <v>45.2</v>
      </c>
      <c r="K62" s="8">
        <v>86</v>
      </c>
      <c r="L62" s="8">
        <v>86</v>
      </c>
      <c r="M62" s="15">
        <f t="shared" ref="M62:M103" si="6">(AVERAGE(K62:L62))*10%</f>
        <v>8.6</v>
      </c>
      <c r="N62" s="8">
        <v>92</v>
      </c>
      <c r="O62" s="8">
        <v>92</v>
      </c>
      <c r="P62" s="15">
        <f t="shared" ref="P62:P103" si="7">(AVERAGE(N62:O62))*10%</f>
        <v>9.2000000000000011</v>
      </c>
      <c r="Q62" s="11"/>
      <c r="R62" s="201" t="str">
        <f t="shared" ref="R62:R103" si="8">IF(V62&lt;65,"BAJO",IF(V62&lt;=79,"BASICO",IF(V62&lt;=89,"ALTO",IF(V62&lt;=100,"SUPERIOR"))))</f>
        <v>BAJO</v>
      </c>
      <c r="S62" s="202"/>
      <c r="T62" s="202"/>
      <c r="U62" s="203"/>
      <c r="V62" s="14">
        <f t="shared" ref="V62:V103" si="9">J62+M62+P62</f>
        <v>63.000000000000007</v>
      </c>
      <c r="W62" s="10"/>
      <c r="X62" s="10"/>
    </row>
    <row r="63" spans="1:24" x14ac:dyDescent="0.25">
      <c r="A63" s="6">
        <v>3</v>
      </c>
      <c r="B63" s="67" t="s">
        <v>440</v>
      </c>
      <c r="C63" s="8">
        <v>55</v>
      </c>
      <c r="D63" s="8">
        <v>83</v>
      </c>
      <c r="E63" s="8">
        <v>40</v>
      </c>
      <c r="F63" s="8"/>
      <c r="G63" s="8"/>
      <c r="H63" s="8"/>
      <c r="I63" s="9">
        <v>40</v>
      </c>
      <c r="J63" s="15">
        <f t="shared" si="5"/>
        <v>45.92</v>
      </c>
      <c r="K63" s="8">
        <v>93</v>
      </c>
      <c r="L63" s="8">
        <v>93</v>
      </c>
      <c r="M63" s="15">
        <f t="shared" si="6"/>
        <v>9.3000000000000007</v>
      </c>
      <c r="N63" s="8">
        <v>94</v>
      </c>
      <c r="O63" s="8">
        <v>94</v>
      </c>
      <c r="P63" s="15">
        <f t="shared" si="7"/>
        <v>9.4</v>
      </c>
      <c r="Q63" s="11"/>
      <c r="R63" s="201" t="str">
        <f t="shared" si="8"/>
        <v>BAJO</v>
      </c>
      <c r="S63" s="202"/>
      <c r="T63" s="202"/>
      <c r="U63" s="203"/>
      <c r="V63" s="14">
        <f t="shared" si="9"/>
        <v>64.62</v>
      </c>
      <c r="W63" s="10"/>
      <c r="X63" s="10"/>
    </row>
    <row r="64" spans="1:24" x14ac:dyDescent="0.25">
      <c r="A64" s="6">
        <v>4</v>
      </c>
      <c r="B64" s="67" t="s">
        <v>64</v>
      </c>
      <c r="C64" s="8">
        <v>71</v>
      </c>
      <c r="D64" s="8">
        <v>30</v>
      </c>
      <c r="E64" s="8">
        <v>21</v>
      </c>
      <c r="F64" s="8"/>
      <c r="G64" s="8"/>
      <c r="H64" s="8"/>
      <c r="I64" s="8">
        <v>40</v>
      </c>
      <c r="J64" s="15">
        <f t="shared" si="5"/>
        <v>32.479999999999997</v>
      </c>
      <c r="K64" s="8">
        <v>90</v>
      </c>
      <c r="L64" s="8">
        <v>90</v>
      </c>
      <c r="M64" s="15">
        <f t="shared" si="6"/>
        <v>9</v>
      </c>
      <c r="N64" s="8">
        <v>86</v>
      </c>
      <c r="O64" s="8">
        <v>86</v>
      </c>
      <c r="P64" s="15">
        <f t="shared" si="7"/>
        <v>8.6</v>
      </c>
      <c r="Q64" s="11"/>
      <c r="R64" s="201" t="str">
        <f t="shared" si="8"/>
        <v>BAJO</v>
      </c>
      <c r="S64" s="202"/>
      <c r="T64" s="202"/>
      <c r="U64" s="203"/>
      <c r="V64" s="14">
        <f t="shared" si="9"/>
        <v>50.08</v>
      </c>
      <c r="W64" s="10"/>
      <c r="X64" s="10"/>
    </row>
    <row r="65" spans="1:24" x14ac:dyDescent="0.25">
      <c r="A65" s="6">
        <v>5</v>
      </c>
      <c r="B65" s="67" t="s">
        <v>441</v>
      </c>
      <c r="C65" s="8">
        <v>78</v>
      </c>
      <c r="D65" s="8">
        <v>93</v>
      </c>
      <c r="E65" s="8">
        <v>68</v>
      </c>
      <c r="F65" s="8"/>
      <c r="G65" s="8"/>
      <c r="H65" s="8"/>
      <c r="I65" s="8">
        <v>40</v>
      </c>
      <c r="J65" s="15">
        <f t="shared" si="5"/>
        <v>60.56</v>
      </c>
      <c r="K65" s="8">
        <v>100</v>
      </c>
      <c r="L65" s="8">
        <v>100</v>
      </c>
      <c r="M65" s="15">
        <f t="shared" si="6"/>
        <v>10</v>
      </c>
      <c r="N65" s="8">
        <v>90</v>
      </c>
      <c r="O65" s="8">
        <v>90</v>
      </c>
      <c r="P65" s="15">
        <f t="shared" si="7"/>
        <v>9</v>
      </c>
      <c r="Q65" s="10"/>
      <c r="R65" s="201" t="str">
        <f t="shared" si="8"/>
        <v>ALTO</v>
      </c>
      <c r="S65" s="202"/>
      <c r="T65" s="202"/>
      <c r="U65" s="203"/>
      <c r="V65" s="14">
        <f t="shared" si="9"/>
        <v>79.56</v>
      </c>
      <c r="W65" s="10"/>
      <c r="X65" s="10"/>
    </row>
    <row r="66" spans="1:24" x14ac:dyDescent="0.25">
      <c r="A66" s="6">
        <v>6</v>
      </c>
      <c r="B66" s="67" t="s">
        <v>95</v>
      </c>
      <c r="C66" s="8">
        <v>74</v>
      </c>
      <c r="D66" s="8">
        <v>75</v>
      </c>
      <c r="E66" s="8">
        <v>45</v>
      </c>
      <c r="F66" s="8"/>
      <c r="G66" s="8"/>
      <c r="H66" s="8"/>
      <c r="I66" s="8">
        <v>40</v>
      </c>
      <c r="J66" s="15">
        <f t="shared" si="5"/>
        <v>49.760000000000005</v>
      </c>
      <c r="K66" s="8">
        <v>80</v>
      </c>
      <c r="L66" s="8">
        <v>80</v>
      </c>
      <c r="M66" s="15">
        <f t="shared" si="6"/>
        <v>8</v>
      </c>
      <c r="N66" s="8">
        <v>92</v>
      </c>
      <c r="O66" s="8">
        <v>92</v>
      </c>
      <c r="P66" s="15">
        <f t="shared" si="7"/>
        <v>9.2000000000000011</v>
      </c>
      <c r="Q66" s="10"/>
      <c r="R66" s="201" t="str">
        <f t="shared" si="8"/>
        <v>BASICO</v>
      </c>
      <c r="S66" s="202"/>
      <c r="T66" s="202"/>
      <c r="U66" s="203"/>
      <c r="V66" s="14">
        <f t="shared" si="9"/>
        <v>66.960000000000008</v>
      </c>
      <c r="W66" s="10"/>
      <c r="X66" s="10"/>
    </row>
    <row r="67" spans="1:24" x14ac:dyDescent="0.25">
      <c r="A67" s="6">
        <v>7</v>
      </c>
      <c r="B67" s="67" t="s">
        <v>443</v>
      </c>
      <c r="C67" s="8">
        <v>100</v>
      </c>
      <c r="D67" s="8">
        <v>100</v>
      </c>
      <c r="E67" s="8">
        <v>100</v>
      </c>
      <c r="F67" s="8"/>
      <c r="G67" s="8"/>
      <c r="H67" s="8"/>
      <c r="I67" s="8">
        <v>40</v>
      </c>
      <c r="J67" s="15">
        <f t="shared" si="5"/>
        <v>75.2</v>
      </c>
      <c r="K67" s="8">
        <v>65</v>
      </c>
      <c r="L67" s="8">
        <v>65</v>
      </c>
      <c r="M67" s="15">
        <f t="shared" si="6"/>
        <v>6.5</v>
      </c>
      <c r="N67" s="8">
        <v>65</v>
      </c>
      <c r="O67" s="8">
        <v>65</v>
      </c>
      <c r="P67" s="15">
        <f t="shared" si="7"/>
        <v>6.5</v>
      </c>
      <c r="Q67" s="10"/>
      <c r="R67" s="201" t="str">
        <f t="shared" si="8"/>
        <v>ALTO</v>
      </c>
      <c r="S67" s="202"/>
      <c r="T67" s="202"/>
      <c r="U67" s="203"/>
      <c r="V67" s="14">
        <f t="shared" si="9"/>
        <v>88.2</v>
      </c>
      <c r="W67" s="10"/>
      <c r="X67" s="10"/>
    </row>
    <row r="68" spans="1:24" x14ac:dyDescent="0.25">
      <c r="A68" s="6">
        <v>8</v>
      </c>
      <c r="B68" s="67" t="s">
        <v>465</v>
      </c>
      <c r="C68" s="8">
        <v>63</v>
      </c>
      <c r="D68" s="8">
        <v>41</v>
      </c>
      <c r="E68" s="8">
        <v>36</v>
      </c>
      <c r="F68" s="8"/>
      <c r="G68" s="8"/>
      <c r="H68" s="8"/>
      <c r="I68" s="8">
        <v>0</v>
      </c>
      <c r="J68" s="15">
        <f t="shared" si="5"/>
        <v>33.599999999999994</v>
      </c>
      <c r="K68" s="8">
        <v>81</v>
      </c>
      <c r="L68" s="8">
        <v>81</v>
      </c>
      <c r="M68" s="15">
        <f t="shared" si="6"/>
        <v>8.1</v>
      </c>
      <c r="N68" s="8">
        <v>87</v>
      </c>
      <c r="O68" s="8">
        <v>87</v>
      </c>
      <c r="P68" s="15">
        <f t="shared" si="7"/>
        <v>8.7000000000000011</v>
      </c>
      <c r="Q68" s="10"/>
      <c r="R68" s="201" t="str">
        <f t="shared" si="8"/>
        <v>BAJO</v>
      </c>
      <c r="S68" s="202"/>
      <c r="T68" s="202"/>
      <c r="U68" s="203"/>
      <c r="V68" s="14">
        <f t="shared" si="9"/>
        <v>50.4</v>
      </c>
      <c r="W68" s="10"/>
      <c r="X68" s="10"/>
    </row>
    <row r="69" spans="1:24" x14ac:dyDescent="0.25">
      <c r="A69" s="6">
        <v>9</v>
      </c>
      <c r="B69" s="67" t="s">
        <v>67</v>
      </c>
      <c r="C69" s="8">
        <v>65</v>
      </c>
      <c r="D69" s="8">
        <v>82</v>
      </c>
      <c r="E69" s="8">
        <v>52</v>
      </c>
      <c r="F69" s="8"/>
      <c r="G69" s="8"/>
      <c r="H69" s="8"/>
      <c r="I69" s="8">
        <v>60</v>
      </c>
      <c r="J69" s="15">
        <f t="shared" si="5"/>
        <v>52.559999999999995</v>
      </c>
      <c r="K69" s="8">
        <v>89</v>
      </c>
      <c r="L69" s="8">
        <v>89</v>
      </c>
      <c r="M69" s="15">
        <f t="shared" si="6"/>
        <v>8.9</v>
      </c>
      <c r="N69" s="8">
        <v>90</v>
      </c>
      <c r="O69" s="8">
        <v>90</v>
      </c>
      <c r="P69" s="15">
        <f t="shared" si="7"/>
        <v>9</v>
      </c>
      <c r="Q69" s="10"/>
      <c r="R69" s="201" t="str">
        <f t="shared" si="8"/>
        <v>BASICO</v>
      </c>
      <c r="S69" s="202"/>
      <c r="T69" s="202"/>
      <c r="U69" s="203"/>
      <c r="V69" s="14">
        <f t="shared" si="9"/>
        <v>70.459999999999994</v>
      </c>
      <c r="W69" s="10"/>
      <c r="X69" s="10"/>
    </row>
    <row r="70" spans="1:24" x14ac:dyDescent="0.25">
      <c r="A70" s="6">
        <v>10</v>
      </c>
      <c r="B70" s="67" t="s">
        <v>446</v>
      </c>
      <c r="C70" s="8">
        <v>100</v>
      </c>
      <c r="D70" s="8">
        <v>100</v>
      </c>
      <c r="E70" s="8">
        <v>100</v>
      </c>
      <c r="F70" s="8"/>
      <c r="G70" s="8"/>
      <c r="H70" s="8"/>
      <c r="I70" s="8">
        <v>40</v>
      </c>
      <c r="J70" s="15">
        <f t="shared" si="5"/>
        <v>75.2</v>
      </c>
      <c r="K70" s="8">
        <v>65</v>
      </c>
      <c r="L70" s="8">
        <v>65</v>
      </c>
      <c r="M70" s="15">
        <f t="shared" si="6"/>
        <v>6.5</v>
      </c>
      <c r="N70" s="8">
        <v>65</v>
      </c>
      <c r="O70" s="8">
        <v>65</v>
      </c>
      <c r="P70" s="15">
        <f t="shared" si="7"/>
        <v>6.5</v>
      </c>
      <c r="Q70" s="10"/>
      <c r="R70" s="201" t="str">
        <f t="shared" si="8"/>
        <v>ALTO</v>
      </c>
      <c r="S70" s="202"/>
      <c r="T70" s="202"/>
      <c r="U70" s="203"/>
      <c r="V70" s="14">
        <f t="shared" si="9"/>
        <v>88.2</v>
      </c>
      <c r="W70" s="10"/>
      <c r="X70" s="10"/>
    </row>
    <row r="71" spans="1:24" x14ac:dyDescent="0.25">
      <c r="A71" s="6">
        <v>11</v>
      </c>
      <c r="B71" s="67" t="s">
        <v>447</v>
      </c>
      <c r="C71" s="8">
        <v>100</v>
      </c>
      <c r="D71" s="8">
        <v>100</v>
      </c>
      <c r="E71" s="8">
        <v>100</v>
      </c>
      <c r="F71" s="8"/>
      <c r="G71" s="8"/>
      <c r="H71" s="8"/>
      <c r="I71" s="8">
        <v>60</v>
      </c>
      <c r="J71" s="15">
        <f t="shared" si="5"/>
        <v>76.8</v>
      </c>
      <c r="K71" s="8">
        <v>65</v>
      </c>
      <c r="L71" s="8">
        <v>65</v>
      </c>
      <c r="M71" s="15">
        <f t="shared" si="6"/>
        <v>6.5</v>
      </c>
      <c r="N71" s="8">
        <v>65</v>
      </c>
      <c r="O71" s="8">
        <v>65</v>
      </c>
      <c r="P71" s="15">
        <f t="shared" si="7"/>
        <v>6.5</v>
      </c>
      <c r="Q71" s="10"/>
      <c r="R71" s="201" t="str">
        <f t="shared" si="8"/>
        <v>SUPERIOR</v>
      </c>
      <c r="S71" s="202"/>
      <c r="T71" s="202"/>
      <c r="U71" s="203"/>
      <c r="V71" s="14">
        <f t="shared" si="9"/>
        <v>89.8</v>
      </c>
      <c r="W71" s="10"/>
      <c r="X71" s="10"/>
    </row>
    <row r="72" spans="1:24" x14ac:dyDescent="0.25">
      <c r="A72" s="6">
        <v>12</v>
      </c>
      <c r="B72" s="67" t="s">
        <v>555</v>
      </c>
      <c r="C72" s="8">
        <v>75</v>
      </c>
      <c r="D72" s="8">
        <v>67</v>
      </c>
      <c r="E72" s="8">
        <v>25</v>
      </c>
      <c r="F72" s="8"/>
      <c r="G72" s="8"/>
      <c r="H72" s="8"/>
      <c r="I72" s="8">
        <v>40</v>
      </c>
      <c r="J72" s="15">
        <f t="shared" si="5"/>
        <v>43.28</v>
      </c>
      <c r="K72" s="8">
        <v>99</v>
      </c>
      <c r="L72" s="8">
        <v>99</v>
      </c>
      <c r="M72" s="15">
        <f t="shared" si="6"/>
        <v>9.9</v>
      </c>
      <c r="N72" s="8">
        <v>94</v>
      </c>
      <c r="O72" s="8">
        <v>94</v>
      </c>
      <c r="P72" s="15">
        <f t="shared" si="7"/>
        <v>9.4</v>
      </c>
      <c r="Q72" s="10"/>
      <c r="R72" s="201" t="str">
        <f t="shared" si="8"/>
        <v>BAJO</v>
      </c>
      <c r="S72" s="202"/>
      <c r="T72" s="202"/>
      <c r="U72" s="203"/>
      <c r="V72" s="14">
        <f t="shared" si="9"/>
        <v>62.58</v>
      </c>
      <c r="W72" s="10"/>
      <c r="X72" s="10"/>
    </row>
    <row r="73" spans="1:24" x14ac:dyDescent="0.25">
      <c r="A73" s="6">
        <v>13</v>
      </c>
      <c r="B73" s="67" t="s">
        <v>448</v>
      </c>
      <c r="C73" s="8">
        <v>64</v>
      </c>
      <c r="D73" s="8">
        <v>90</v>
      </c>
      <c r="E73" s="8">
        <v>84</v>
      </c>
      <c r="F73" s="8"/>
      <c r="G73" s="8"/>
      <c r="H73" s="8"/>
      <c r="I73" s="8">
        <v>60</v>
      </c>
      <c r="J73" s="15">
        <f t="shared" si="5"/>
        <v>61.919999999999995</v>
      </c>
      <c r="K73" s="8">
        <v>97</v>
      </c>
      <c r="L73" s="8">
        <v>97</v>
      </c>
      <c r="M73" s="15">
        <f t="shared" si="6"/>
        <v>9.7000000000000011</v>
      </c>
      <c r="N73" s="8">
        <v>84</v>
      </c>
      <c r="O73" s="8">
        <v>84</v>
      </c>
      <c r="P73" s="15">
        <f t="shared" si="7"/>
        <v>8.4</v>
      </c>
      <c r="Q73" s="10"/>
      <c r="R73" s="201" t="str">
        <f t="shared" si="8"/>
        <v>ALTO</v>
      </c>
      <c r="S73" s="202"/>
      <c r="T73" s="202"/>
      <c r="U73" s="203"/>
      <c r="V73" s="14">
        <f t="shared" si="9"/>
        <v>80.02</v>
      </c>
      <c r="W73" s="10"/>
      <c r="X73" s="10"/>
    </row>
    <row r="74" spans="1:24" x14ac:dyDescent="0.25">
      <c r="A74" s="6">
        <v>14</v>
      </c>
      <c r="B74" s="67" t="s">
        <v>467</v>
      </c>
      <c r="C74" s="8">
        <v>84</v>
      </c>
      <c r="D74" s="8">
        <v>91</v>
      </c>
      <c r="E74" s="8">
        <v>78</v>
      </c>
      <c r="F74" s="8"/>
      <c r="G74" s="8"/>
      <c r="H74" s="8"/>
      <c r="I74" s="8">
        <v>40</v>
      </c>
      <c r="J74" s="15">
        <f t="shared" si="5"/>
        <v>63.919999999999995</v>
      </c>
      <c r="K74" s="8">
        <v>77</v>
      </c>
      <c r="L74" s="8">
        <v>77</v>
      </c>
      <c r="M74" s="15">
        <f t="shared" si="6"/>
        <v>7.7</v>
      </c>
      <c r="N74" s="8">
        <v>82</v>
      </c>
      <c r="O74" s="8">
        <v>82</v>
      </c>
      <c r="P74" s="15">
        <f t="shared" si="7"/>
        <v>8.2000000000000011</v>
      </c>
      <c r="Q74" s="10"/>
      <c r="R74" s="201" t="str">
        <f t="shared" si="8"/>
        <v>ALTO</v>
      </c>
      <c r="S74" s="202"/>
      <c r="T74" s="202"/>
      <c r="U74" s="203"/>
      <c r="V74" s="14">
        <f t="shared" si="9"/>
        <v>79.819999999999993</v>
      </c>
      <c r="W74" s="10"/>
      <c r="X74" s="10"/>
    </row>
    <row r="75" spans="1:24" x14ac:dyDescent="0.25">
      <c r="A75" s="6">
        <v>15</v>
      </c>
      <c r="B75" s="67" t="s">
        <v>449</v>
      </c>
      <c r="C75" s="13">
        <v>28</v>
      </c>
      <c r="D75" s="13">
        <v>83</v>
      </c>
      <c r="E75" s="13">
        <v>44</v>
      </c>
      <c r="F75" s="8"/>
      <c r="G75" s="8"/>
      <c r="H75" s="8"/>
      <c r="I75" s="8">
        <v>60</v>
      </c>
      <c r="J75" s="15">
        <f t="shared" si="5"/>
        <v>41.999999999999993</v>
      </c>
      <c r="K75" s="8">
        <v>88</v>
      </c>
      <c r="L75" s="8">
        <v>88</v>
      </c>
      <c r="M75" s="15">
        <f t="shared" si="6"/>
        <v>8.8000000000000007</v>
      </c>
      <c r="N75" s="8">
        <v>89</v>
      </c>
      <c r="O75" s="8">
        <v>89</v>
      </c>
      <c r="P75" s="15">
        <f t="shared" si="7"/>
        <v>8.9</v>
      </c>
      <c r="Q75" s="10"/>
      <c r="R75" s="201" t="str">
        <f t="shared" si="8"/>
        <v>BAJO</v>
      </c>
      <c r="S75" s="202"/>
      <c r="T75" s="202"/>
      <c r="U75" s="203"/>
      <c r="V75" s="14">
        <f t="shared" si="9"/>
        <v>59.699999999999996</v>
      </c>
      <c r="W75" s="10"/>
      <c r="X75" s="10"/>
    </row>
    <row r="76" spans="1:24" ht="15.75" customHeight="1" x14ac:dyDescent="0.25">
      <c r="A76" s="38">
        <v>16</v>
      </c>
      <c r="B76" s="67" t="s">
        <v>450</v>
      </c>
      <c r="C76" s="136">
        <v>99</v>
      </c>
      <c r="D76" s="136">
        <v>64</v>
      </c>
      <c r="E76" s="136">
        <v>73</v>
      </c>
      <c r="F76" s="26"/>
      <c r="G76" s="8"/>
      <c r="H76" s="8"/>
      <c r="I76" s="8">
        <v>40</v>
      </c>
      <c r="J76" s="15">
        <f t="shared" si="5"/>
        <v>59.84</v>
      </c>
      <c r="K76" s="8">
        <v>99</v>
      </c>
      <c r="L76" s="8">
        <v>99</v>
      </c>
      <c r="M76" s="15">
        <f t="shared" si="6"/>
        <v>9.9</v>
      </c>
      <c r="N76" s="8">
        <v>100</v>
      </c>
      <c r="O76" s="8">
        <v>100</v>
      </c>
      <c r="P76" s="15">
        <f t="shared" si="7"/>
        <v>10</v>
      </c>
      <c r="Q76" s="10"/>
      <c r="R76" s="201" t="str">
        <f t="shared" si="8"/>
        <v>ALTO</v>
      </c>
      <c r="S76" s="202"/>
      <c r="T76" s="202"/>
      <c r="U76" s="203"/>
      <c r="V76" s="14">
        <f t="shared" si="9"/>
        <v>79.740000000000009</v>
      </c>
      <c r="W76" s="10"/>
      <c r="X76" s="10"/>
    </row>
    <row r="77" spans="1:24" ht="15.75" customHeight="1" x14ac:dyDescent="0.25">
      <c r="A77" s="6">
        <v>17</v>
      </c>
      <c r="B77" s="67" t="s">
        <v>822</v>
      </c>
      <c r="C77" s="9">
        <v>90</v>
      </c>
      <c r="D77" s="9">
        <v>96</v>
      </c>
      <c r="E77" s="9">
        <v>98</v>
      </c>
      <c r="F77" s="8"/>
      <c r="G77" s="8"/>
      <c r="H77" s="8"/>
      <c r="I77" s="13">
        <v>40</v>
      </c>
      <c r="J77" s="15">
        <f t="shared" si="5"/>
        <v>71.36</v>
      </c>
      <c r="K77" s="8">
        <v>84</v>
      </c>
      <c r="L77" s="8">
        <v>84</v>
      </c>
      <c r="M77" s="15">
        <f t="shared" si="6"/>
        <v>8.4</v>
      </c>
      <c r="N77" s="8">
        <v>99</v>
      </c>
      <c r="O77" s="8">
        <v>99</v>
      </c>
      <c r="P77" s="15">
        <f t="shared" si="7"/>
        <v>9.9</v>
      </c>
      <c r="Q77" s="10"/>
      <c r="R77" s="201" t="str">
        <f t="shared" si="8"/>
        <v>SUPERIOR</v>
      </c>
      <c r="S77" s="202"/>
      <c r="T77" s="202"/>
      <c r="U77" s="203"/>
      <c r="V77" s="14">
        <f t="shared" si="9"/>
        <v>89.660000000000011</v>
      </c>
      <c r="W77" s="10"/>
      <c r="X77" s="10"/>
    </row>
    <row r="78" spans="1:24" ht="15.75" customHeight="1" x14ac:dyDescent="0.25">
      <c r="A78" s="6">
        <v>18</v>
      </c>
      <c r="B78" s="67" t="s">
        <v>499</v>
      </c>
      <c r="C78" s="8">
        <v>100</v>
      </c>
      <c r="D78" s="8">
        <v>100</v>
      </c>
      <c r="E78" s="8">
        <v>100</v>
      </c>
      <c r="F78" s="8"/>
      <c r="G78" s="8"/>
      <c r="H78" s="8"/>
      <c r="I78" s="8">
        <v>40</v>
      </c>
      <c r="J78" s="15">
        <f t="shared" si="5"/>
        <v>75.2</v>
      </c>
      <c r="K78" s="8">
        <v>65</v>
      </c>
      <c r="L78" s="8">
        <v>65</v>
      </c>
      <c r="M78" s="15">
        <f t="shared" si="6"/>
        <v>6.5</v>
      </c>
      <c r="N78" s="8">
        <v>65</v>
      </c>
      <c r="O78" s="8">
        <v>65</v>
      </c>
      <c r="P78" s="15">
        <f t="shared" si="7"/>
        <v>6.5</v>
      </c>
      <c r="Q78" s="10"/>
      <c r="R78" s="201" t="str">
        <f t="shared" si="8"/>
        <v>ALTO</v>
      </c>
      <c r="S78" s="202"/>
      <c r="T78" s="202"/>
      <c r="U78" s="203"/>
      <c r="V78" s="14">
        <f t="shared" si="9"/>
        <v>88.2</v>
      </c>
      <c r="W78" s="10"/>
      <c r="X78" s="10"/>
    </row>
    <row r="79" spans="1:24" ht="15.75" customHeight="1" x14ac:dyDescent="0.25">
      <c r="A79" s="6">
        <v>19</v>
      </c>
      <c r="B79" s="67" t="s">
        <v>451</v>
      </c>
      <c r="C79" s="8">
        <v>100</v>
      </c>
      <c r="D79" s="8">
        <v>100</v>
      </c>
      <c r="E79" s="8">
        <v>100</v>
      </c>
      <c r="F79" s="8"/>
      <c r="G79" s="8"/>
      <c r="H79" s="8"/>
      <c r="I79" s="8">
        <v>40</v>
      </c>
      <c r="J79" s="15">
        <f t="shared" si="5"/>
        <v>75.2</v>
      </c>
      <c r="K79" s="8">
        <v>65</v>
      </c>
      <c r="L79" s="8">
        <v>65</v>
      </c>
      <c r="M79" s="15">
        <f t="shared" si="6"/>
        <v>6.5</v>
      </c>
      <c r="N79" s="8">
        <v>65</v>
      </c>
      <c r="O79" s="8">
        <v>65</v>
      </c>
      <c r="P79" s="15">
        <f t="shared" si="7"/>
        <v>6.5</v>
      </c>
      <c r="Q79" s="10"/>
      <c r="R79" s="201" t="str">
        <f t="shared" si="8"/>
        <v>ALTO</v>
      </c>
      <c r="S79" s="202"/>
      <c r="T79" s="202"/>
      <c r="U79" s="203"/>
      <c r="V79" s="14">
        <f t="shared" si="9"/>
        <v>88.2</v>
      </c>
      <c r="W79" s="10"/>
      <c r="X79" s="10"/>
    </row>
    <row r="80" spans="1:24" ht="15.75" customHeight="1" x14ac:dyDescent="0.25">
      <c r="A80" s="6">
        <v>20</v>
      </c>
      <c r="B80" s="67" t="s">
        <v>452</v>
      </c>
      <c r="C80" s="8">
        <v>94</v>
      </c>
      <c r="D80" s="8">
        <v>61</v>
      </c>
      <c r="E80" s="8">
        <v>33</v>
      </c>
      <c r="F80" s="8"/>
      <c r="G80" s="8"/>
      <c r="H80" s="8"/>
      <c r="I80" s="8">
        <v>40</v>
      </c>
      <c r="J80" s="15">
        <f t="shared" si="5"/>
        <v>48.32</v>
      </c>
      <c r="K80" s="8">
        <v>95</v>
      </c>
      <c r="L80" s="8">
        <v>95</v>
      </c>
      <c r="M80" s="15">
        <f t="shared" si="6"/>
        <v>9.5</v>
      </c>
      <c r="N80" s="8">
        <v>99</v>
      </c>
      <c r="O80" s="8">
        <v>99</v>
      </c>
      <c r="P80" s="15">
        <f t="shared" si="7"/>
        <v>9.9</v>
      </c>
      <c r="Q80" s="10"/>
      <c r="R80" s="201" t="str">
        <f t="shared" si="8"/>
        <v>BASICO</v>
      </c>
      <c r="S80" s="202"/>
      <c r="T80" s="202"/>
      <c r="U80" s="203"/>
      <c r="V80" s="14">
        <f t="shared" si="9"/>
        <v>67.72</v>
      </c>
      <c r="W80" s="10"/>
      <c r="X80" s="10"/>
    </row>
    <row r="81" spans="1:24" ht="15.75" customHeight="1" x14ac:dyDescent="0.25">
      <c r="A81" s="6">
        <v>21</v>
      </c>
      <c r="B81" s="67" t="s">
        <v>453</v>
      </c>
      <c r="C81" s="8">
        <v>91</v>
      </c>
      <c r="D81" s="8">
        <v>82</v>
      </c>
      <c r="E81" s="8">
        <v>85</v>
      </c>
      <c r="F81" s="8"/>
      <c r="G81" s="8"/>
      <c r="H81" s="8"/>
      <c r="I81" s="8">
        <v>40</v>
      </c>
      <c r="J81" s="15">
        <f t="shared" si="5"/>
        <v>65.11999999999999</v>
      </c>
      <c r="K81" s="8">
        <v>85</v>
      </c>
      <c r="L81" s="8">
        <v>85</v>
      </c>
      <c r="M81" s="15">
        <f t="shared" si="6"/>
        <v>8.5</v>
      </c>
      <c r="N81" s="8">
        <v>94</v>
      </c>
      <c r="O81" s="8">
        <v>94</v>
      </c>
      <c r="P81" s="15">
        <f t="shared" si="7"/>
        <v>9.4</v>
      </c>
      <c r="Q81" s="10"/>
      <c r="R81" s="201" t="str">
        <f t="shared" si="8"/>
        <v>ALTO</v>
      </c>
      <c r="S81" s="202"/>
      <c r="T81" s="202"/>
      <c r="U81" s="203"/>
      <c r="V81" s="14">
        <f t="shared" si="9"/>
        <v>83.02</v>
      </c>
      <c r="W81" s="10"/>
      <c r="X81" s="10"/>
    </row>
    <row r="82" spans="1:24" ht="15.75" customHeight="1" x14ac:dyDescent="0.25">
      <c r="A82" s="6">
        <v>22</v>
      </c>
      <c r="B82" s="67" t="s">
        <v>455</v>
      </c>
      <c r="C82" s="8">
        <v>75</v>
      </c>
      <c r="D82" s="8">
        <v>50</v>
      </c>
      <c r="E82" s="8">
        <v>52</v>
      </c>
      <c r="F82" s="8"/>
      <c r="G82" s="8"/>
      <c r="H82" s="8"/>
      <c r="I82" s="8">
        <v>40</v>
      </c>
      <c r="J82" s="15">
        <f t="shared" si="5"/>
        <v>45.68</v>
      </c>
      <c r="K82" s="8">
        <v>69</v>
      </c>
      <c r="L82" s="8">
        <v>69</v>
      </c>
      <c r="M82" s="15">
        <f t="shared" si="6"/>
        <v>6.9</v>
      </c>
      <c r="N82" s="8">
        <v>70</v>
      </c>
      <c r="O82" s="8">
        <v>70</v>
      </c>
      <c r="P82" s="15">
        <f t="shared" si="7"/>
        <v>7</v>
      </c>
      <c r="Q82" s="10"/>
      <c r="R82" s="201" t="str">
        <f t="shared" si="8"/>
        <v>BAJO</v>
      </c>
      <c r="S82" s="202"/>
      <c r="T82" s="202"/>
      <c r="U82" s="203"/>
      <c r="V82" s="14">
        <f t="shared" si="9"/>
        <v>59.58</v>
      </c>
      <c r="W82" s="10"/>
      <c r="X82" s="10"/>
    </row>
    <row r="83" spans="1:24" ht="15.75" customHeight="1" x14ac:dyDescent="0.25">
      <c r="A83" s="6">
        <v>23</v>
      </c>
      <c r="B83" s="67" t="s">
        <v>116</v>
      </c>
      <c r="C83" s="9">
        <v>57</v>
      </c>
      <c r="D83" s="9">
        <v>67</v>
      </c>
      <c r="E83" s="9">
        <v>59</v>
      </c>
      <c r="F83" s="8"/>
      <c r="G83" s="8"/>
      <c r="H83" s="8"/>
      <c r="I83" s="8">
        <v>40</v>
      </c>
      <c r="J83" s="15">
        <f t="shared" si="5"/>
        <v>47.120000000000005</v>
      </c>
      <c r="K83" s="8">
        <v>87</v>
      </c>
      <c r="L83" s="8">
        <v>87</v>
      </c>
      <c r="M83" s="15">
        <f t="shared" si="6"/>
        <v>8.7000000000000011</v>
      </c>
      <c r="N83" s="8">
        <v>95</v>
      </c>
      <c r="O83" s="8">
        <v>95</v>
      </c>
      <c r="P83" s="15">
        <f t="shared" si="7"/>
        <v>9.5</v>
      </c>
      <c r="Q83" s="10"/>
      <c r="R83" s="201" t="str">
        <f t="shared" si="8"/>
        <v>BASICO</v>
      </c>
      <c r="S83" s="202"/>
      <c r="T83" s="202"/>
      <c r="U83" s="203"/>
      <c r="V83" s="14">
        <f t="shared" si="9"/>
        <v>65.320000000000007</v>
      </c>
      <c r="W83" s="10"/>
      <c r="X83" s="10"/>
    </row>
    <row r="84" spans="1:24" ht="15.75" customHeight="1" x14ac:dyDescent="0.25">
      <c r="A84" s="6">
        <v>24</v>
      </c>
      <c r="B84" s="67" t="s">
        <v>104</v>
      </c>
      <c r="C84" s="8">
        <v>73</v>
      </c>
      <c r="D84" s="8">
        <v>33</v>
      </c>
      <c r="E84" s="8">
        <v>95</v>
      </c>
      <c r="F84" s="26"/>
      <c r="G84" s="8"/>
      <c r="H84" s="8"/>
      <c r="I84" s="8">
        <v>40</v>
      </c>
      <c r="J84" s="15">
        <f t="shared" si="5"/>
        <v>51.44</v>
      </c>
      <c r="K84" s="8">
        <v>96</v>
      </c>
      <c r="L84" s="8">
        <v>96</v>
      </c>
      <c r="M84" s="15">
        <f t="shared" si="6"/>
        <v>9.6000000000000014</v>
      </c>
      <c r="N84" s="8">
        <v>91</v>
      </c>
      <c r="O84" s="8">
        <v>91</v>
      </c>
      <c r="P84" s="15">
        <f t="shared" si="7"/>
        <v>9.1</v>
      </c>
      <c r="Q84" s="10"/>
      <c r="R84" s="201" t="str">
        <f t="shared" si="8"/>
        <v>BASICO</v>
      </c>
      <c r="S84" s="202"/>
      <c r="T84" s="202"/>
      <c r="U84" s="203"/>
      <c r="V84" s="14">
        <f t="shared" si="9"/>
        <v>70.14</v>
      </c>
      <c r="W84" s="10"/>
      <c r="X84" s="10"/>
    </row>
    <row r="85" spans="1:24" ht="15.75" customHeight="1" x14ac:dyDescent="0.25">
      <c r="A85" s="6">
        <v>25</v>
      </c>
      <c r="B85" s="67" t="s">
        <v>456</v>
      </c>
      <c r="C85" s="8">
        <v>81</v>
      </c>
      <c r="D85" s="8">
        <v>60</v>
      </c>
      <c r="E85" s="8">
        <v>86</v>
      </c>
      <c r="F85" s="8"/>
      <c r="G85" s="8"/>
      <c r="H85" s="8"/>
      <c r="I85" s="8">
        <v>40</v>
      </c>
      <c r="J85" s="15">
        <f t="shared" si="5"/>
        <v>57.680000000000007</v>
      </c>
      <c r="K85" s="8">
        <v>80</v>
      </c>
      <c r="L85" s="8">
        <v>80</v>
      </c>
      <c r="M85" s="15">
        <f t="shared" si="6"/>
        <v>8</v>
      </c>
      <c r="N85" s="8">
        <v>97</v>
      </c>
      <c r="O85" s="8">
        <v>97</v>
      </c>
      <c r="P85" s="15">
        <f t="shared" si="7"/>
        <v>9.7000000000000011</v>
      </c>
      <c r="Q85" s="10"/>
      <c r="R85" s="201" t="str">
        <f t="shared" si="8"/>
        <v>BASICO</v>
      </c>
      <c r="S85" s="202"/>
      <c r="T85" s="202"/>
      <c r="U85" s="203"/>
      <c r="V85" s="14">
        <f t="shared" si="9"/>
        <v>75.38000000000001</v>
      </c>
      <c r="W85" s="10"/>
      <c r="X85" s="10"/>
    </row>
    <row r="86" spans="1:24" ht="15.75" customHeight="1" x14ac:dyDescent="0.25">
      <c r="A86" s="6">
        <v>26</v>
      </c>
      <c r="B86" s="67" t="s">
        <v>485</v>
      </c>
      <c r="C86" s="8">
        <v>25</v>
      </c>
      <c r="D86" s="8">
        <v>86</v>
      </c>
      <c r="E86" s="8">
        <v>71</v>
      </c>
      <c r="F86" s="8"/>
      <c r="G86" s="8"/>
      <c r="H86" s="8"/>
      <c r="I86" s="8">
        <v>40</v>
      </c>
      <c r="J86" s="15">
        <f t="shared" si="5"/>
        <v>46.88</v>
      </c>
      <c r="K86" s="8">
        <v>98</v>
      </c>
      <c r="L86" s="8">
        <v>98</v>
      </c>
      <c r="M86" s="15">
        <f t="shared" si="6"/>
        <v>9.8000000000000007</v>
      </c>
      <c r="N86" s="8">
        <v>89</v>
      </c>
      <c r="O86" s="8">
        <v>89</v>
      </c>
      <c r="P86" s="15">
        <f t="shared" si="7"/>
        <v>8.9</v>
      </c>
      <c r="Q86" s="10"/>
      <c r="R86" s="201" t="str">
        <f t="shared" si="8"/>
        <v>BASICO</v>
      </c>
      <c r="S86" s="202"/>
      <c r="T86" s="202"/>
      <c r="U86" s="203"/>
      <c r="V86" s="14">
        <f t="shared" si="9"/>
        <v>65.580000000000013</v>
      </c>
      <c r="W86" s="10"/>
      <c r="X86" s="10"/>
    </row>
    <row r="87" spans="1:24" ht="15.75" customHeight="1" x14ac:dyDescent="0.25">
      <c r="A87" s="6">
        <v>27</v>
      </c>
      <c r="B87" s="67" t="s">
        <v>457</v>
      </c>
      <c r="C87" s="8">
        <v>63</v>
      </c>
      <c r="D87" s="8">
        <v>100</v>
      </c>
      <c r="E87" s="8">
        <v>92</v>
      </c>
      <c r="F87" s="8"/>
      <c r="G87" s="8"/>
      <c r="H87" s="8"/>
      <c r="I87" s="8">
        <v>40</v>
      </c>
      <c r="J87" s="15">
        <f t="shared" si="5"/>
        <v>64.399999999999991</v>
      </c>
      <c r="K87" s="8">
        <v>83</v>
      </c>
      <c r="L87" s="8">
        <v>83</v>
      </c>
      <c r="M87" s="15">
        <f t="shared" si="6"/>
        <v>8.3000000000000007</v>
      </c>
      <c r="N87" s="8">
        <v>76</v>
      </c>
      <c r="O87" s="8">
        <v>76</v>
      </c>
      <c r="P87" s="15">
        <f t="shared" si="7"/>
        <v>7.6000000000000005</v>
      </c>
      <c r="Q87" s="10"/>
      <c r="R87" s="201" t="str">
        <f t="shared" si="8"/>
        <v>ALTO</v>
      </c>
      <c r="S87" s="202"/>
      <c r="T87" s="202"/>
      <c r="U87" s="203"/>
      <c r="V87" s="14">
        <f t="shared" si="9"/>
        <v>80.299999999999983</v>
      </c>
      <c r="W87" s="10"/>
      <c r="X87" s="10"/>
    </row>
    <row r="88" spans="1:24" ht="15.75" customHeight="1" x14ac:dyDescent="0.25">
      <c r="A88" s="6">
        <v>28</v>
      </c>
      <c r="B88" s="67" t="s">
        <v>458</v>
      </c>
      <c r="C88" s="8">
        <v>35</v>
      </c>
      <c r="D88" s="8">
        <v>27</v>
      </c>
      <c r="E88" s="8">
        <v>49</v>
      </c>
      <c r="F88" s="8"/>
      <c r="G88" s="8"/>
      <c r="H88" s="8"/>
      <c r="I88" s="8">
        <v>60</v>
      </c>
      <c r="J88" s="15">
        <f t="shared" si="5"/>
        <v>31.44</v>
      </c>
      <c r="K88" s="8">
        <v>93</v>
      </c>
      <c r="L88" s="8">
        <v>93</v>
      </c>
      <c r="M88" s="15">
        <f t="shared" si="6"/>
        <v>9.3000000000000007</v>
      </c>
      <c r="N88" s="8">
        <v>97</v>
      </c>
      <c r="O88" s="8">
        <v>97</v>
      </c>
      <c r="P88" s="15">
        <f t="shared" si="7"/>
        <v>9.7000000000000011</v>
      </c>
      <c r="Q88" s="10"/>
      <c r="R88" s="201" t="str">
        <f t="shared" si="8"/>
        <v>BAJO</v>
      </c>
      <c r="S88" s="202"/>
      <c r="T88" s="202"/>
      <c r="U88" s="203"/>
      <c r="V88" s="14">
        <f t="shared" si="9"/>
        <v>50.440000000000005</v>
      </c>
      <c r="W88" s="10"/>
      <c r="X88" s="10"/>
    </row>
    <row r="89" spans="1:24" ht="15.75" customHeight="1" x14ac:dyDescent="0.25">
      <c r="A89" s="6">
        <v>29</v>
      </c>
      <c r="B89" s="67" t="s">
        <v>459</v>
      </c>
      <c r="C89" s="8">
        <v>82</v>
      </c>
      <c r="D89" s="8">
        <v>89</v>
      </c>
      <c r="E89" s="8">
        <v>74</v>
      </c>
      <c r="F89" s="8"/>
      <c r="G89" s="8"/>
      <c r="H89" s="8"/>
      <c r="I89" s="8">
        <v>40</v>
      </c>
      <c r="J89" s="15">
        <f t="shared" si="5"/>
        <v>62.000000000000007</v>
      </c>
      <c r="K89" s="8">
        <v>91</v>
      </c>
      <c r="L89" s="8">
        <v>91</v>
      </c>
      <c r="M89" s="15">
        <f t="shared" si="6"/>
        <v>9.1</v>
      </c>
      <c r="N89" s="8">
        <v>91</v>
      </c>
      <c r="O89" s="8">
        <v>91</v>
      </c>
      <c r="P89" s="15">
        <f t="shared" si="7"/>
        <v>9.1</v>
      </c>
      <c r="Q89" s="10"/>
      <c r="R89" s="201" t="str">
        <f t="shared" si="8"/>
        <v>ALTO</v>
      </c>
      <c r="S89" s="202"/>
      <c r="T89" s="202"/>
      <c r="U89" s="203"/>
      <c r="V89" s="14">
        <f t="shared" si="9"/>
        <v>80.2</v>
      </c>
      <c r="W89" s="10"/>
      <c r="X89" s="10"/>
    </row>
    <row r="90" spans="1:24" ht="15.75" customHeight="1" x14ac:dyDescent="0.25">
      <c r="A90" s="6">
        <v>30</v>
      </c>
      <c r="B90" s="67" t="s">
        <v>460</v>
      </c>
      <c r="C90" s="8">
        <v>62</v>
      </c>
      <c r="D90" s="8">
        <v>83</v>
      </c>
      <c r="E90" s="8">
        <v>95</v>
      </c>
      <c r="F90" s="8"/>
      <c r="G90" s="8"/>
      <c r="H90" s="8"/>
      <c r="I90" s="8">
        <v>40</v>
      </c>
      <c r="J90" s="15">
        <f t="shared" si="5"/>
        <v>60.8</v>
      </c>
      <c r="K90" s="8">
        <v>75</v>
      </c>
      <c r="L90" s="8">
        <v>75</v>
      </c>
      <c r="M90" s="15">
        <f t="shared" si="6"/>
        <v>7.5</v>
      </c>
      <c r="N90" s="8">
        <v>76</v>
      </c>
      <c r="O90" s="8">
        <v>76</v>
      </c>
      <c r="P90" s="15">
        <f t="shared" si="7"/>
        <v>7.6000000000000005</v>
      </c>
      <c r="Q90" s="10"/>
      <c r="R90" s="201" t="str">
        <f t="shared" si="8"/>
        <v>BASICO</v>
      </c>
      <c r="S90" s="202"/>
      <c r="T90" s="202"/>
      <c r="U90" s="203"/>
      <c r="V90" s="14">
        <f t="shared" si="9"/>
        <v>75.899999999999991</v>
      </c>
      <c r="W90" s="10"/>
      <c r="X90" s="10"/>
    </row>
    <row r="91" spans="1:24" ht="15.75" customHeight="1" x14ac:dyDescent="0.25">
      <c r="A91" s="6">
        <v>31</v>
      </c>
      <c r="B91" s="67" t="s">
        <v>462</v>
      </c>
      <c r="C91" s="8">
        <v>92</v>
      </c>
      <c r="D91" s="8">
        <v>74</v>
      </c>
      <c r="E91" s="8">
        <v>94</v>
      </c>
      <c r="F91" s="8"/>
      <c r="G91" s="8"/>
      <c r="H91" s="8"/>
      <c r="I91" s="8">
        <v>40</v>
      </c>
      <c r="J91" s="15">
        <f t="shared" si="5"/>
        <v>65.599999999999994</v>
      </c>
      <c r="K91" s="8">
        <v>97</v>
      </c>
      <c r="L91" s="8">
        <v>97</v>
      </c>
      <c r="M91" s="15">
        <f t="shared" si="6"/>
        <v>9.7000000000000011</v>
      </c>
      <c r="N91" s="8">
        <v>96</v>
      </c>
      <c r="O91" s="8">
        <v>96</v>
      </c>
      <c r="P91" s="15">
        <f t="shared" si="7"/>
        <v>9.6000000000000014</v>
      </c>
      <c r="Q91" s="10"/>
      <c r="R91" s="201" t="str">
        <f t="shared" si="8"/>
        <v>ALTO</v>
      </c>
      <c r="S91" s="202"/>
      <c r="T91" s="202"/>
      <c r="U91" s="203"/>
      <c r="V91" s="14">
        <f t="shared" si="9"/>
        <v>84.9</v>
      </c>
      <c r="W91" s="10"/>
      <c r="X91" s="10"/>
    </row>
    <row r="92" spans="1:24" ht="15.75" customHeight="1" x14ac:dyDescent="0.25">
      <c r="A92" s="6">
        <v>32</v>
      </c>
      <c r="B92" s="113"/>
      <c r="C92" s="8"/>
      <c r="D92" s="8"/>
      <c r="E92" s="8"/>
      <c r="F92" s="8"/>
      <c r="G92" s="8"/>
      <c r="H92" s="8"/>
      <c r="I92" s="8"/>
      <c r="J92" s="15" t="e">
        <f t="shared" si="5"/>
        <v>#DIV/0!</v>
      </c>
      <c r="K92" s="8"/>
      <c r="L92" s="8"/>
      <c r="M92" s="15" t="e">
        <f t="shared" si="6"/>
        <v>#DIV/0!</v>
      </c>
      <c r="N92" s="8"/>
      <c r="O92" s="8"/>
      <c r="P92" s="15" t="e">
        <f t="shared" si="7"/>
        <v>#DIV/0!</v>
      </c>
      <c r="Q92" s="10"/>
      <c r="R92" s="201" t="e">
        <f t="shared" si="8"/>
        <v>#DIV/0!</v>
      </c>
      <c r="S92" s="202"/>
      <c r="T92" s="202"/>
      <c r="U92" s="203"/>
      <c r="V92" s="14" t="e">
        <f t="shared" si="9"/>
        <v>#DIV/0!</v>
      </c>
      <c r="W92" s="10"/>
      <c r="X92" s="10"/>
    </row>
    <row r="93" spans="1:24" ht="15.75" customHeight="1" x14ac:dyDescent="0.25">
      <c r="A93" s="6">
        <v>33</v>
      </c>
      <c r="B93" s="113"/>
      <c r="C93" s="8"/>
      <c r="D93" s="8"/>
      <c r="E93" s="8"/>
      <c r="F93" s="8"/>
      <c r="G93" s="8"/>
      <c r="H93" s="8"/>
      <c r="I93" s="8"/>
      <c r="J93" s="15" t="e">
        <f t="shared" si="5"/>
        <v>#DIV/0!</v>
      </c>
      <c r="K93" s="8"/>
      <c r="L93" s="8"/>
      <c r="M93" s="15" t="e">
        <f t="shared" si="6"/>
        <v>#DIV/0!</v>
      </c>
      <c r="N93" s="8"/>
      <c r="O93" s="8"/>
      <c r="P93" s="15" t="e">
        <f t="shared" si="7"/>
        <v>#DIV/0!</v>
      </c>
      <c r="Q93" s="10"/>
      <c r="R93" s="201" t="e">
        <f t="shared" si="8"/>
        <v>#DIV/0!</v>
      </c>
      <c r="S93" s="202"/>
      <c r="T93" s="202"/>
      <c r="U93" s="203"/>
      <c r="V93" s="14" t="e">
        <f t="shared" si="9"/>
        <v>#DIV/0!</v>
      </c>
      <c r="W93" s="10"/>
      <c r="X93" s="10"/>
    </row>
    <row r="94" spans="1:24" ht="15.75" customHeight="1" x14ac:dyDescent="0.25">
      <c r="A94" s="6">
        <v>34</v>
      </c>
      <c r="B94" s="155"/>
      <c r="C94" s="8"/>
      <c r="D94" s="8"/>
      <c r="E94" s="8"/>
      <c r="F94" s="8"/>
      <c r="G94" s="8"/>
      <c r="H94" s="8"/>
      <c r="I94" s="8"/>
      <c r="J94" s="15" t="e">
        <f t="shared" si="5"/>
        <v>#DIV/0!</v>
      </c>
      <c r="K94" s="8"/>
      <c r="L94" s="8"/>
      <c r="M94" s="15" t="e">
        <f t="shared" si="6"/>
        <v>#DIV/0!</v>
      </c>
      <c r="N94" s="8"/>
      <c r="O94" s="8"/>
      <c r="P94" s="15" t="e">
        <f t="shared" si="7"/>
        <v>#DIV/0!</v>
      </c>
      <c r="Q94" s="10"/>
      <c r="R94" s="201" t="e">
        <f t="shared" si="8"/>
        <v>#DIV/0!</v>
      </c>
      <c r="S94" s="202"/>
      <c r="T94" s="202"/>
      <c r="U94" s="203"/>
      <c r="V94" s="14" t="e">
        <f t="shared" si="9"/>
        <v>#DIV/0!</v>
      </c>
      <c r="W94" s="10"/>
      <c r="X94" s="10"/>
    </row>
    <row r="95" spans="1:24" ht="15.75" customHeight="1" x14ac:dyDescent="0.25">
      <c r="A95" s="6">
        <v>35</v>
      </c>
      <c r="B95" s="67"/>
      <c r="C95" s="8"/>
      <c r="D95" s="8"/>
      <c r="E95" s="8"/>
      <c r="F95" s="8"/>
      <c r="G95" s="8"/>
      <c r="H95" s="8"/>
      <c r="I95" s="8"/>
      <c r="J95" s="15" t="e">
        <f t="shared" si="5"/>
        <v>#DIV/0!</v>
      </c>
      <c r="K95" s="8"/>
      <c r="L95" s="8"/>
      <c r="M95" s="15" t="e">
        <f t="shared" si="6"/>
        <v>#DIV/0!</v>
      </c>
      <c r="N95" s="8"/>
      <c r="O95" s="8"/>
      <c r="P95" s="15" t="e">
        <f t="shared" si="7"/>
        <v>#DIV/0!</v>
      </c>
      <c r="Q95" s="10"/>
      <c r="R95" s="201" t="e">
        <f t="shared" si="8"/>
        <v>#DIV/0!</v>
      </c>
      <c r="S95" s="202"/>
      <c r="T95" s="202"/>
      <c r="U95" s="203"/>
      <c r="V95" s="14" t="e">
        <f t="shared" si="9"/>
        <v>#DIV/0!</v>
      </c>
      <c r="W95" s="10"/>
      <c r="X95" s="10"/>
    </row>
    <row r="96" spans="1:24" ht="15.75" customHeight="1" x14ac:dyDescent="0.25">
      <c r="A96" s="6">
        <v>36</v>
      </c>
      <c r="B96" s="155"/>
      <c r="C96" s="8"/>
      <c r="D96" s="8"/>
      <c r="E96" s="8"/>
      <c r="F96" s="8"/>
      <c r="G96" s="8"/>
      <c r="H96" s="8"/>
      <c r="I96" s="8"/>
      <c r="J96" s="15" t="e">
        <f t="shared" si="5"/>
        <v>#DIV/0!</v>
      </c>
      <c r="K96" s="8"/>
      <c r="L96" s="8"/>
      <c r="M96" s="15" t="e">
        <f t="shared" si="6"/>
        <v>#DIV/0!</v>
      </c>
      <c r="N96" s="8"/>
      <c r="O96" s="8"/>
      <c r="P96" s="15" t="e">
        <f t="shared" si="7"/>
        <v>#DIV/0!</v>
      </c>
      <c r="Q96" s="10"/>
      <c r="R96" s="201" t="e">
        <f t="shared" si="8"/>
        <v>#DIV/0!</v>
      </c>
      <c r="S96" s="202"/>
      <c r="T96" s="202"/>
      <c r="U96" s="203"/>
      <c r="V96" s="14" t="e">
        <f t="shared" si="9"/>
        <v>#DIV/0!</v>
      </c>
      <c r="W96" s="10"/>
      <c r="X96" s="10"/>
    </row>
    <row r="97" spans="1:24" ht="15.75" customHeight="1" x14ac:dyDescent="0.25">
      <c r="A97" s="6">
        <v>37</v>
      </c>
      <c r="B97" s="155"/>
      <c r="C97" s="8"/>
      <c r="D97" s="8"/>
      <c r="E97" s="8"/>
      <c r="F97" s="8"/>
      <c r="G97" s="8"/>
      <c r="H97" s="8"/>
      <c r="I97" s="8"/>
      <c r="J97" s="15" t="e">
        <f t="shared" si="5"/>
        <v>#DIV/0!</v>
      </c>
      <c r="K97" s="8"/>
      <c r="L97" s="8"/>
      <c r="M97" s="15" t="e">
        <f t="shared" si="6"/>
        <v>#DIV/0!</v>
      </c>
      <c r="N97" s="8"/>
      <c r="O97" s="8"/>
      <c r="P97" s="15" t="e">
        <f t="shared" si="7"/>
        <v>#DIV/0!</v>
      </c>
      <c r="Q97" s="10"/>
      <c r="R97" s="201" t="e">
        <f t="shared" si="8"/>
        <v>#DIV/0!</v>
      </c>
      <c r="S97" s="202"/>
      <c r="T97" s="202"/>
      <c r="U97" s="203"/>
      <c r="V97" s="14" t="e">
        <f t="shared" si="9"/>
        <v>#DIV/0!</v>
      </c>
      <c r="W97" s="10"/>
      <c r="X97" s="10"/>
    </row>
    <row r="98" spans="1:24" ht="15.75" customHeight="1" x14ac:dyDescent="0.25">
      <c r="A98" s="6">
        <v>38</v>
      </c>
      <c r="B98" s="67"/>
      <c r="C98" s="8"/>
      <c r="D98" s="8"/>
      <c r="E98" s="8"/>
      <c r="F98" s="8"/>
      <c r="G98" s="8"/>
      <c r="H98" s="8"/>
      <c r="I98" s="8"/>
      <c r="J98" s="15" t="e">
        <f t="shared" si="5"/>
        <v>#DIV/0!</v>
      </c>
      <c r="K98" s="8"/>
      <c r="L98" s="8"/>
      <c r="M98" s="15" t="e">
        <f t="shared" si="6"/>
        <v>#DIV/0!</v>
      </c>
      <c r="N98" s="8"/>
      <c r="O98" s="8"/>
      <c r="P98" s="15" t="e">
        <f t="shared" si="7"/>
        <v>#DIV/0!</v>
      </c>
      <c r="Q98" s="10"/>
      <c r="R98" s="201" t="e">
        <f t="shared" si="8"/>
        <v>#DIV/0!</v>
      </c>
      <c r="S98" s="202"/>
      <c r="T98" s="202"/>
      <c r="U98" s="203"/>
      <c r="V98" s="14" t="e">
        <f t="shared" si="9"/>
        <v>#DIV/0!</v>
      </c>
      <c r="W98" s="10"/>
      <c r="X98" s="10"/>
    </row>
    <row r="99" spans="1:24" ht="15.75" customHeight="1" x14ac:dyDescent="0.25">
      <c r="A99" s="6">
        <v>39</v>
      </c>
      <c r="B99" s="60"/>
      <c r="C99" s="8"/>
      <c r="D99" s="8"/>
      <c r="E99" s="8"/>
      <c r="F99" s="8"/>
      <c r="G99" s="8"/>
      <c r="H99" s="8"/>
      <c r="I99" s="8"/>
      <c r="J99" s="15" t="e">
        <f t="shared" si="5"/>
        <v>#DIV/0!</v>
      </c>
      <c r="K99" s="8"/>
      <c r="L99" s="8"/>
      <c r="M99" s="15" t="e">
        <f t="shared" si="6"/>
        <v>#DIV/0!</v>
      </c>
      <c r="N99" s="8"/>
      <c r="O99" s="8"/>
      <c r="P99" s="15" t="e">
        <f t="shared" si="7"/>
        <v>#DIV/0!</v>
      </c>
      <c r="Q99" s="10"/>
      <c r="R99" s="201" t="e">
        <f t="shared" si="8"/>
        <v>#DIV/0!</v>
      </c>
      <c r="S99" s="202"/>
      <c r="T99" s="202"/>
      <c r="U99" s="203"/>
      <c r="V99" s="14" t="e">
        <f t="shared" si="9"/>
        <v>#DIV/0!</v>
      </c>
      <c r="W99" s="10"/>
      <c r="X99" s="10"/>
    </row>
    <row r="100" spans="1:24" ht="15.75" customHeight="1" x14ac:dyDescent="0.25">
      <c r="A100" s="6">
        <v>40</v>
      </c>
      <c r="B100" s="60"/>
      <c r="C100" s="8"/>
      <c r="D100" s="8"/>
      <c r="E100" s="8"/>
      <c r="F100" s="8"/>
      <c r="G100" s="8"/>
      <c r="H100" s="8"/>
      <c r="I100" s="8"/>
      <c r="J100" s="15" t="e">
        <f t="shared" si="5"/>
        <v>#DIV/0!</v>
      </c>
      <c r="K100" s="8"/>
      <c r="L100" s="8"/>
      <c r="M100" s="15" t="e">
        <f t="shared" si="6"/>
        <v>#DIV/0!</v>
      </c>
      <c r="N100" s="8"/>
      <c r="O100" s="8"/>
      <c r="P100" s="15" t="e">
        <f t="shared" si="7"/>
        <v>#DIV/0!</v>
      </c>
      <c r="Q100" s="10"/>
      <c r="R100" s="201" t="e">
        <f t="shared" si="8"/>
        <v>#DIV/0!</v>
      </c>
      <c r="S100" s="202"/>
      <c r="T100" s="202"/>
      <c r="U100" s="203"/>
      <c r="V100" s="14" t="e">
        <f t="shared" si="9"/>
        <v>#DIV/0!</v>
      </c>
      <c r="W100" s="10"/>
      <c r="X100" s="10"/>
    </row>
    <row r="101" spans="1:24" ht="15.75" customHeight="1" x14ac:dyDescent="0.25">
      <c r="A101" s="6">
        <v>41</v>
      </c>
      <c r="B101" s="60"/>
      <c r="C101" s="8"/>
      <c r="D101" s="8"/>
      <c r="E101" s="8"/>
      <c r="F101" s="8"/>
      <c r="G101" s="8"/>
      <c r="H101" s="8"/>
      <c r="I101" s="8"/>
      <c r="J101" s="15" t="e">
        <f t="shared" si="5"/>
        <v>#DIV/0!</v>
      </c>
      <c r="K101" s="8"/>
      <c r="L101" s="8"/>
      <c r="M101" s="15" t="e">
        <f t="shared" si="6"/>
        <v>#DIV/0!</v>
      </c>
      <c r="N101" s="8"/>
      <c r="O101" s="8"/>
      <c r="P101" s="15" t="e">
        <f t="shared" si="7"/>
        <v>#DIV/0!</v>
      </c>
      <c r="Q101" s="10"/>
      <c r="R101" s="201" t="e">
        <f t="shared" si="8"/>
        <v>#DIV/0!</v>
      </c>
      <c r="S101" s="202"/>
      <c r="T101" s="202"/>
      <c r="U101" s="203"/>
      <c r="V101" s="14" t="e">
        <f t="shared" si="9"/>
        <v>#DIV/0!</v>
      </c>
      <c r="W101" s="10"/>
      <c r="X101" s="10"/>
    </row>
    <row r="102" spans="1:24" ht="15.75" customHeight="1" x14ac:dyDescent="0.25">
      <c r="A102" s="6">
        <v>42</v>
      </c>
      <c r="B102" s="60"/>
      <c r="C102" s="8"/>
      <c r="D102" s="8"/>
      <c r="E102" s="8"/>
      <c r="F102" s="8"/>
      <c r="G102" s="8"/>
      <c r="H102" s="8"/>
      <c r="I102" s="8"/>
      <c r="J102" s="15" t="e">
        <f t="shared" si="5"/>
        <v>#DIV/0!</v>
      </c>
      <c r="K102" s="8"/>
      <c r="L102" s="8"/>
      <c r="M102" s="15" t="e">
        <f t="shared" si="6"/>
        <v>#DIV/0!</v>
      </c>
      <c r="N102" s="8"/>
      <c r="O102" s="8"/>
      <c r="P102" s="15" t="e">
        <f t="shared" si="7"/>
        <v>#DIV/0!</v>
      </c>
      <c r="Q102" s="10"/>
      <c r="R102" s="201" t="e">
        <f t="shared" si="8"/>
        <v>#DIV/0!</v>
      </c>
      <c r="S102" s="202"/>
      <c r="T102" s="202"/>
      <c r="U102" s="203"/>
      <c r="V102" s="14" t="e">
        <f t="shared" si="9"/>
        <v>#DIV/0!</v>
      </c>
      <c r="W102" s="10"/>
      <c r="X102" s="10"/>
    </row>
    <row r="103" spans="1:24" ht="15.75" customHeight="1" x14ac:dyDescent="0.25">
      <c r="A103" s="6">
        <v>43</v>
      </c>
      <c r="B103" s="60"/>
      <c r="C103" s="8"/>
      <c r="D103" s="8"/>
      <c r="E103" s="8"/>
      <c r="F103" s="8"/>
      <c r="G103" s="8"/>
      <c r="H103" s="8"/>
      <c r="I103" s="8"/>
      <c r="J103" s="15" t="e">
        <f t="shared" si="5"/>
        <v>#DIV/0!</v>
      </c>
      <c r="K103" s="8"/>
      <c r="L103" s="8"/>
      <c r="M103" s="15" t="e">
        <f t="shared" si="6"/>
        <v>#DIV/0!</v>
      </c>
      <c r="N103" s="8"/>
      <c r="O103" s="8"/>
      <c r="P103" s="15" t="e">
        <f t="shared" si="7"/>
        <v>#DIV/0!</v>
      </c>
      <c r="Q103" s="10"/>
      <c r="R103" s="201" t="e">
        <f t="shared" si="8"/>
        <v>#DIV/0!</v>
      </c>
      <c r="S103" s="202"/>
      <c r="T103" s="202"/>
      <c r="U103" s="203"/>
      <c r="V103" s="14" t="e">
        <f t="shared" si="9"/>
        <v>#DIV/0!</v>
      </c>
      <c r="W103" s="10"/>
      <c r="X103" s="10"/>
    </row>
    <row r="104" spans="1:24" ht="15.75" customHeight="1" x14ac:dyDescent="0.25">
      <c r="A104" s="187"/>
      <c r="B104" s="315"/>
      <c r="C104" s="205"/>
      <c r="D104" s="205"/>
      <c r="E104" s="210"/>
      <c r="F104" s="211"/>
      <c r="G104" s="211"/>
      <c r="H104" s="211"/>
      <c r="I104" s="211"/>
      <c r="J104" s="204"/>
      <c r="K104" s="204"/>
      <c r="L104" s="205"/>
      <c r="M104" s="185"/>
      <c r="N104" s="185"/>
      <c r="O104" s="185"/>
      <c r="P104" s="185"/>
      <c r="Q104" s="187"/>
      <c r="R104" s="188"/>
      <c r="S104" s="189"/>
      <c r="T104" s="190"/>
      <c r="U104" s="194"/>
      <c r="V104" s="195"/>
      <c r="W104" s="206"/>
      <c r="X104" s="181"/>
    </row>
    <row r="105" spans="1:24" ht="15.75" customHeight="1" x14ac:dyDescent="0.25">
      <c r="A105" s="187"/>
      <c r="B105" s="312"/>
      <c r="C105" s="205"/>
      <c r="D105" s="205"/>
      <c r="E105" s="210"/>
      <c r="F105" s="211"/>
      <c r="G105" s="211"/>
      <c r="H105" s="211"/>
      <c r="I105" s="211"/>
      <c r="J105" s="204"/>
      <c r="K105" s="204"/>
      <c r="L105" s="205"/>
      <c r="M105" s="185"/>
      <c r="N105" s="185"/>
      <c r="O105" s="185"/>
      <c r="P105" s="185"/>
      <c r="Q105" s="187"/>
      <c r="R105" s="188"/>
      <c r="S105" s="189"/>
      <c r="T105" s="190"/>
      <c r="U105" s="194"/>
      <c r="V105" s="195"/>
      <c r="W105" s="206"/>
      <c r="X105" s="181"/>
    </row>
    <row r="106" spans="1:24" ht="15.75" customHeight="1" x14ac:dyDescent="0.25">
      <c r="A106" s="187"/>
      <c r="B106" s="313"/>
      <c r="C106" s="205"/>
      <c r="D106" s="205"/>
      <c r="E106" s="210"/>
      <c r="F106" s="211"/>
      <c r="G106" s="211"/>
      <c r="H106" s="211"/>
      <c r="I106" s="211"/>
      <c r="J106" s="204"/>
      <c r="K106" s="204"/>
      <c r="L106" s="205"/>
      <c r="M106" s="185"/>
      <c r="N106" s="185"/>
      <c r="O106" s="185"/>
      <c r="P106" s="185"/>
      <c r="Q106" s="187"/>
      <c r="R106" s="188"/>
      <c r="S106" s="189"/>
      <c r="T106" s="190"/>
      <c r="U106" s="194"/>
      <c r="V106" s="195"/>
      <c r="W106" s="206"/>
      <c r="X106" s="181"/>
    </row>
    <row r="107" spans="1:24" ht="79.5" customHeight="1" thickBot="1" x14ac:dyDescent="0.3">
      <c r="A107" s="187"/>
      <c r="B107" s="316"/>
      <c r="C107" s="205"/>
      <c r="D107" s="205"/>
      <c r="E107" s="210"/>
      <c r="F107" s="212"/>
      <c r="G107" s="212"/>
      <c r="H107" s="212"/>
      <c r="I107" s="212"/>
      <c r="J107" s="204"/>
      <c r="K107" s="204"/>
      <c r="L107" s="205"/>
      <c r="M107" s="186"/>
      <c r="N107" s="186"/>
      <c r="O107" s="186"/>
      <c r="P107" s="186"/>
      <c r="Q107" s="187"/>
      <c r="R107" s="191"/>
      <c r="S107" s="192"/>
      <c r="T107" s="193"/>
      <c r="U107" s="196"/>
      <c r="V107" s="197"/>
      <c r="W107" s="207"/>
      <c r="X107" s="182"/>
    </row>
    <row r="108" spans="1:24" ht="15.75" customHeight="1" thickTop="1" thickBot="1" x14ac:dyDescent="0.3"/>
    <row r="109" spans="1:24" ht="87.75" customHeight="1" thickBot="1" x14ac:dyDescent="0.3">
      <c r="A109" s="290"/>
      <c r="B109" s="291"/>
      <c r="C109" s="291"/>
      <c r="D109" s="291"/>
      <c r="E109" s="291"/>
      <c r="F109" s="291"/>
      <c r="G109" s="291"/>
      <c r="H109" s="291"/>
      <c r="I109" s="291"/>
      <c r="J109" s="291"/>
      <c r="K109" s="291"/>
      <c r="L109" s="291"/>
      <c r="M109" s="291"/>
      <c r="N109" s="291"/>
      <c r="O109" s="291"/>
      <c r="P109" s="292"/>
      <c r="Q109" s="310"/>
      <c r="R109" s="228"/>
      <c r="S109" s="228"/>
      <c r="T109" s="228"/>
      <c r="U109" s="228"/>
      <c r="V109" s="228"/>
      <c r="W109" s="228"/>
      <c r="X109" s="229"/>
    </row>
    <row r="110" spans="1:24" ht="15.75" customHeight="1" thickBot="1" x14ac:dyDescent="0.3">
      <c r="A110" s="296" t="s">
        <v>281</v>
      </c>
      <c r="B110" s="297"/>
      <c r="C110" s="298" t="s">
        <v>931</v>
      </c>
      <c r="D110" s="299"/>
      <c r="E110" s="299"/>
      <c r="F110" s="299"/>
      <c r="G110" s="299"/>
      <c r="H110" s="299"/>
      <c r="I110" s="300"/>
      <c r="J110" s="223" t="s">
        <v>20</v>
      </c>
      <c r="K110" s="224"/>
      <c r="L110" s="224"/>
      <c r="M110" s="224"/>
      <c r="N110" s="225"/>
      <c r="O110" s="225"/>
      <c r="P110" s="225"/>
      <c r="Q110" s="226"/>
      <c r="R110" s="227" t="s">
        <v>30</v>
      </c>
      <c r="S110" s="228"/>
      <c r="T110" s="228"/>
      <c r="U110" s="228"/>
      <c r="V110" s="228"/>
      <c r="W110" s="228"/>
      <c r="X110" s="229"/>
    </row>
    <row r="111" spans="1:24" ht="15.75" customHeight="1" x14ac:dyDescent="0.25">
      <c r="A111" s="230" t="s">
        <v>0</v>
      </c>
      <c r="B111" s="307" t="s">
        <v>1</v>
      </c>
      <c r="C111" s="235" t="s">
        <v>12</v>
      </c>
      <c r="D111" s="235"/>
      <c r="E111" s="235"/>
      <c r="F111" s="235"/>
      <c r="G111" s="235"/>
      <c r="H111" s="235"/>
      <c r="I111" s="235"/>
      <c r="J111" s="235"/>
      <c r="K111" s="236" t="s">
        <v>13</v>
      </c>
      <c r="L111" s="237"/>
      <c r="M111" s="237"/>
      <c r="N111" s="240" t="s">
        <v>15</v>
      </c>
      <c r="O111" s="240"/>
      <c r="P111" s="240"/>
      <c r="Q111" s="241" t="s">
        <v>4</v>
      </c>
      <c r="R111" s="244" t="s">
        <v>11</v>
      </c>
      <c r="S111" s="244"/>
      <c r="T111" s="244"/>
      <c r="U111" s="244"/>
      <c r="V111" s="244"/>
      <c r="W111" s="246" t="s">
        <v>2</v>
      </c>
      <c r="X111" s="247"/>
    </row>
    <row r="112" spans="1:24" ht="15.75" customHeight="1" x14ac:dyDescent="0.25">
      <c r="A112" s="231"/>
      <c r="B112" s="308"/>
      <c r="C112" s="248" t="s">
        <v>6</v>
      </c>
      <c r="D112" s="248" t="s">
        <v>17</v>
      </c>
      <c r="E112" s="248" t="s">
        <v>5</v>
      </c>
      <c r="F112" s="250"/>
      <c r="G112" s="250"/>
      <c r="H112" s="250"/>
      <c r="I112" s="251" t="s">
        <v>16</v>
      </c>
      <c r="J112" s="253" t="s">
        <v>14</v>
      </c>
      <c r="K112" s="238"/>
      <c r="L112" s="239"/>
      <c r="M112" s="239"/>
      <c r="N112" s="240"/>
      <c r="O112" s="240"/>
      <c r="P112" s="240"/>
      <c r="Q112" s="242"/>
      <c r="R112" s="245"/>
      <c r="S112" s="245"/>
      <c r="T112" s="245"/>
      <c r="U112" s="245"/>
      <c r="V112" s="245"/>
      <c r="W112" s="187"/>
      <c r="X112" s="187"/>
    </row>
    <row r="113" spans="1:24" ht="29.25" customHeight="1" thickBot="1" x14ac:dyDescent="0.3">
      <c r="A113" s="232"/>
      <c r="B113" s="309"/>
      <c r="C113" s="249"/>
      <c r="D113" s="249"/>
      <c r="E113" s="249"/>
      <c r="F113" s="249"/>
      <c r="G113" s="249"/>
      <c r="H113" s="249"/>
      <c r="I113" s="252"/>
      <c r="J113" s="254"/>
      <c r="K113" s="2" t="s">
        <v>9</v>
      </c>
      <c r="L113" s="2" t="s">
        <v>10</v>
      </c>
      <c r="M113" s="21" t="s">
        <v>3</v>
      </c>
      <c r="N113" s="2" t="s">
        <v>9</v>
      </c>
      <c r="O113" s="2" t="s">
        <v>10</v>
      </c>
      <c r="P113" s="22" t="s">
        <v>3</v>
      </c>
      <c r="Q113" s="243"/>
      <c r="R113" s="198" t="s">
        <v>7</v>
      </c>
      <c r="S113" s="199"/>
      <c r="T113" s="199"/>
      <c r="U113" s="200"/>
      <c r="V113" s="23" t="s">
        <v>8</v>
      </c>
      <c r="W113" s="5">
        <v>1</v>
      </c>
      <c r="X113" s="5">
        <v>2</v>
      </c>
    </row>
    <row r="114" spans="1:24" ht="15.75" customHeight="1" x14ac:dyDescent="0.25">
      <c r="A114" s="6">
        <v>1</v>
      </c>
      <c r="B114" s="121" t="s">
        <v>515</v>
      </c>
      <c r="C114" s="8"/>
      <c r="D114" s="8"/>
      <c r="E114" s="8"/>
      <c r="F114" s="8"/>
      <c r="G114" s="8"/>
      <c r="H114" s="8"/>
      <c r="I114" s="9"/>
      <c r="J114" s="15" t="e">
        <f>((AVERAGE(C114:H114))*72%)+I114*8%</f>
        <v>#DIV/0!</v>
      </c>
      <c r="K114" s="8"/>
      <c r="L114" s="8"/>
      <c r="M114" s="15" t="e">
        <f>(AVERAGE(K114:L114))*10%</f>
        <v>#DIV/0!</v>
      </c>
      <c r="N114" s="9"/>
      <c r="O114" s="9"/>
      <c r="P114" s="15" t="e">
        <f>(AVERAGE(N114:O114))*10%</f>
        <v>#DIV/0!</v>
      </c>
      <c r="Q114" s="8"/>
      <c r="R114" s="201" t="e">
        <f>IF(V114&lt;65,"BAJO",IF(V114&lt;=79,"BASICO",IF(V114&lt;=89,"ALTO",IF(V114&lt;=100,"SUPERIOR"))))</f>
        <v>#DIV/0!</v>
      </c>
      <c r="S114" s="202"/>
      <c r="T114" s="202"/>
      <c r="U114" s="203"/>
      <c r="V114" s="14" t="e">
        <f>J114+M114+P114</f>
        <v>#DIV/0!</v>
      </c>
      <c r="W114" s="10"/>
      <c r="X114" s="10"/>
    </row>
    <row r="115" spans="1:24" ht="15.75" customHeight="1" x14ac:dyDescent="0.25">
      <c r="A115" s="6">
        <v>2</v>
      </c>
      <c r="B115" s="116" t="s">
        <v>516</v>
      </c>
      <c r="C115" s="8"/>
      <c r="D115" s="8"/>
      <c r="E115" s="8"/>
      <c r="F115" s="8"/>
      <c r="G115" s="8"/>
      <c r="H115" s="8"/>
      <c r="I115" s="9"/>
      <c r="J115" s="15" t="e">
        <f t="shared" ref="J115:J159" si="10">((AVERAGE(C115:H115))*72%)+I115*8%</f>
        <v>#DIV/0!</v>
      </c>
      <c r="K115" s="8"/>
      <c r="L115" s="8"/>
      <c r="M115" s="15" t="e">
        <f t="shared" ref="M115:M159" si="11">(AVERAGE(K115:L115))*10%</f>
        <v>#DIV/0!</v>
      </c>
      <c r="N115" s="8"/>
      <c r="O115" s="8"/>
      <c r="P115" s="15" t="e">
        <f t="shared" ref="P115:P159" si="12">(AVERAGE(N115:O115))*10%</f>
        <v>#DIV/0!</v>
      </c>
      <c r="Q115" s="11"/>
      <c r="R115" s="201" t="e">
        <f t="shared" ref="R115:R159" si="13">IF(V115&lt;65,"BAJO",IF(V115&lt;=79,"BASICO",IF(V115&lt;=89,"ALTO",IF(V115&lt;=100,"SUPERIOR"))))</f>
        <v>#DIV/0!</v>
      </c>
      <c r="S115" s="202"/>
      <c r="T115" s="202"/>
      <c r="U115" s="203"/>
      <c r="V115" s="14" t="e">
        <f t="shared" ref="V115:V159" si="14">J115+M115+P115</f>
        <v>#DIV/0!</v>
      </c>
      <c r="W115" s="10"/>
      <c r="X115" s="10"/>
    </row>
    <row r="116" spans="1:24" ht="15.75" customHeight="1" x14ac:dyDescent="0.25">
      <c r="A116" s="6">
        <v>3</v>
      </c>
      <c r="B116" s="116" t="s">
        <v>823</v>
      </c>
      <c r="C116" s="8"/>
      <c r="D116" s="8"/>
      <c r="E116" s="8"/>
      <c r="F116" s="8"/>
      <c r="G116" s="8"/>
      <c r="H116" s="8"/>
      <c r="I116" s="9"/>
      <c r="J116" s="15" t="e">
        <f t="shared" si="10"/>
        <v>#DIV/0!</v>
      </c>
      <c r="K116" s="8"/>
      <c r="L116" s="8"/>
      <c r="M116" s="15" t="e">
        <f t="shared" si="11"/>
        <v>#DIV/0!</v>
      </c>
      <c r="N116" s="8"/>
      <c r="O116" s="8"/>
      <c r="P116" s="15" t="e">
        <f t="shared" si="12"/>
        <v>#DIV/0!</v>
      </c>
      <c r="Q116" s="11"/>
      <c r="R116" s="201" t="e">
        <f t="shared" si="13"/>
        <v>#DIV/0!</v>
      </c>
      <c r="S116" s="202"/>
      <c r="T116" s="202"/>
      <c r="U116" s="203"/>
      <c r="V116" s="14" t="e">
        <f t="shared" si="14"/>
        <v>#DIV/0!</v>
      </c>
      <c r="W116" s="10"/>
      <c r="X116" s="10"/>
    </row>
    <row r="117" spans="1:24" ht="15.75" customHeight="1" x14ac:dyDescent="0.25">
      <c r="A117" s="6">
        <v>4</v>
      </c>
      <c r="B117" s="116" t="s">
        <v>913</v>
      </c>
      <c r="C117" s="8"/>
      <c r="D117" s="8"/>
      <c r="E117" s="8"/>
      <c r="F117" s="8"/>
      <c r="G117" s="8"/>
      <c r="H117" s="8"/>
      <c r="I117" s="8"/>
      <c r="J117" s="15" t="e">
        <f t="shared" si="10"/>
        <v>#DIV/0!</v>
      </c>
      <c r="K117" s="8"/>
      <c r="L117" s="8"/>
      <c r="M117" s="15" t="e">
        <f t="shared" si="11"/>
        <v>#DIV/0!</v>
      </c>
      <c r="N117" s="8"/>
      <c r="O117" s="8"/>
      <c r="P117" s="15" t="e">
        <f t="shared" si="12"/>
        <v>#DIV/0!</v>
      </c>
      <c r="Q117" s="11"/>
      <c r="R117" s="201" t="e">
        <f t="shared" si="13"/>
        <v>#DIV/0!</v>
      </c>
      <c r="S117" s="202"/>
      <c r="T117" s="202"/>
      <c r="U117" s="203"/>
      <c r="V117" s="14" t="e">
        <f t="shared" si="14"/>
        <v>#DIV/0!</v>
      </c>
      <c r="W117" s="10"/>
      <c r="X117" s="10"/>
    </row>
    <row r="118" spans="1:24" ht="15.75" customHeight="1" x14ac:dyDescent="0.25">
      <c r="A118" s="6">
        <v>5</v>
      </c>
      <c r="B118" s="116" t="s">
        <v>518</v>
      </c>
      <c r="C118" s="8"/>
      <c r="D118" s="8"/>
      <c r="E118" s="8"/>
      <c r="F118" s="8"/>
      <c r="G118" s="8"/>
      <c r="H118" s="8"/>
      <c r="I118" s="8"/>
      <c r="J118" s="15" t="e">
        <f t="shared" si="10"/>
        <v>#DIV/0!</v>
      </c>
      <c r="K118" s="8"/>
      <c r="L118" s="8"/>
      <c r="M118" s="15" t="e">
        <f t="shared" si="11"/>
        <v>#DIV/0!</v>
      </c>
      <c r="N118" s="8"/>
      <c r="O118" s="8"/>
      <c r="P118" s="15" t="e">
        <f t="shared" si="12"/>
        <v>#DIV/0!</v>
      </c>
      <c r="Q118" s="10"/>
      <c r="R118" s="201" t="e">
        <f t="shared" si="13"/>
        <v>#DIV/0!</v>
      </c>
      <c r="S118" s="202"/>
      <c r="T118" s="202"/>
      <c r="U118" s="203"/>
      <c r="V118" s="14" t="e">
        <f t="shared" si="14"/>
        <v>#DIV/0!</v>
      </c>
      <c r="W118" s="10"/>
      <c r="X118" s="10"/>
    </row>
    <row r="119" spans="1:24" ht="15.75" customHeight="1" x14ac:dyDescent="0.25">
      <c r="A119" s="6">
        <v>6</v>
      </c>
      <c r="B119" s="119" t="s">
        <v>444</v>
      </c>
      <c r="C119" s="8"/>
      <c r="D119" s="8"/>
      <c r="E119" s="8"/>
      <c r="F119" s="8"/>
      <c r="G119" s="8"/>
      <c r="H119" s="8"/>
      <c r="I119" s="8"/>
      <c r="J119" s="15" t="e">
        <f t="shared" si="10"/>
        <v>#DIV/0!</v>
      </c>
      <c r="K119" s="8"/>
      <c r="L119" s="8"/>
      <c r="M119" s="15" t="e">
        <f t="shared" si="11"/>
        <v>#DIV/0!</v>
      </c>
      <c r="N119" s="8"/>
      <c r="O119" s="8"/>
      <c r="P119" s="15" t="e">
        <f t="shared" si="12"/>
        <v>#DIV/0!</v>
      </c>
      <c r="Q119" s="10"/>
      <c r="R119" s="201" t="e">
        <f t="shared" si="13"/>
        <v>#DIV/0!</v>
      </c>
      <c r="S119" s="202"/>
      <c r="T119" s="202"/>
      <c r="U119" s="203"/>
      <c r="V119" s="14" t="e">
        <f t="shared" si="14"/>
        <v>#DIV/0!</v>
      </c>
      <c r="W119" s="10"/>
      <c r="X119" s="10"/>
    </row>
    <row r="120" spans="1:24" ht="15.75" customHeight="1" x14ac:dyDescent="0.25">
      <c r="A120" s="6">
        <v>7</v>
      </c>
      <c r="B120" s="116" t="s">
        <v>824</v>
      </c>
      <c r="C120" s="8"/>
      <c r="D120" s="8"/>
      <c r="E120" s="8"/>
      <c r="F120" s="8"/>
      <c r="G120" s="8"/>
      <c r="H120" s="8"/>
      <c r="I120" s="8"/>
      <c r="J120" s="15" t="e">
        <f t="shared" si="10"/>
        <v>#DIV/0!</v>
      </c>
      <c r="K120" s="8"/>
      <c r="L120" s="8"/>
      <c r="M120" s="15" t="e">
        <f t="shared" si="11"/>
        <v>#DIV/0!</v>
      </c>
      <c r="N120" s="8"/>
      <c r="O120" s="8"/>
      <c r="P120" s="15" t="e">
        <f t="shared" si="12"/>
        <v>#DIV/0!</v>
      </c>
      <c r="Q120" s="10"/>
      <c r="R120" s="201" t="e">
        <f t="shared" si="13"/>
        <v>#DIV/0!</v>
      </c>
      <c r="S120" s="202"/>
      <c r="T120" s="202"/>
      <c r="U120" s="203"/>
      <c r="V120" s="14" t="e">
        <f t="shared" si="14"/>
        <v>#DIV/0!</v>
      </c>
      <c r="W120" s="10"/>
      <c r="X120" s="10"/>
    </row>
    <row r="121" spans="1:24" ht="15.75" customHeight="1" x14ac:dyDescent="0.25">
      <c r="A121" s="6">
        <v>8</v>
      </c>
      <c r="B121" s="116" t="s">
        <v>520</v>
      </c>
      <c r="C121" s="8"/>
      <c r="D121" s="8"/>
      <c r="E121" s="8"/>
      <c r="F121" s="8"/>
      <c r="G121" s="8"/>
      <c r="H121" s="8"/>
      <c r="I121" s="8"/>
      <c r="J121" s="15" t="e">
        <f t="shared" si="10"/>
        <v>#DIV/0!</v>
      </c>
      <c r="K121" s="8"/>
      <c r="L121" s="8"/>
      <c r="M121" s="15" t="e">
        <f t="shared" si="11"/>
        <v>#DIV/0!</v>
      </c>
      <c r="N121" s="8"/>
      <c r="O121" s="8"/>
      <c r="P121" s="15" t="e">
        <f t="shared" si="12"/>
        <v>#DIV/0!</v>
      </c>
      <c r="Q121" s="10"/>
      <c r="R121" s="201" t="e">
        <f t="shared" si="13"/>
        <v>#DIV/0!</v>
      </c>
      <c r="S121" s="202"/>
      <c r="T121" s="202"/>
      <c r="U121" s="203"/>
      <c r="V121" s="14" t="e">
        <f t="shared" si="14"/>
        <v>#DIV/0!</v>
      </c>
      <c r="W121" s="10"/>
      <c r="X121" s="10"/>
    </row>
    <row r="122" spans="1:24" ht="15.75" customHeight="1" x14ac:dyDescent="0.25">
      <c r="A122" s="6">
        <v>9</v>
      </c>
      <c r="B122" s="67" t="s">
        <v>521</v>
      </c>
      <c r="C122" s="8"/>
      <c r="D122" s="8"/>
      <c r="E122" s="8"/>
      <c r="F122" s="8"/>
      <c r="G122" s="8"/>
      <c r="H122" s="8"/>
      <c r="I122" s="8"/>
      <c r="J122" s="15" t="e">
        <f t="shared" si="10"/>
        <v>#DIV/0!</v>
      </c>
      <c r="K122" s="8"/>
      <c r="L122" s="8"/>
      <c r="M122" s="15" t="e">
        <f t="shared" si="11"/>
        <v>#DIV/0!</v>
      </c>
      <c r="N122" s="8"/>
      <c r="O122" s="8"/>
      <c r="P122" s="15" t="e">
        <f t="shared" si="12"/>
        <v>#DIV/0!</v>
      </c>
      <c r="Q122" s="10"/>
      <c r="R122" s="201" t="e">
        <f t="shared" si="13"/>
        <v>#DIV/0!</v>
      </c>
      <c r="S122" s="202"/>
      <c r="T122" s="202"/>
      <c r="U122" s="203"/>
      <c r="V122" s="14" t="e">
        <f t="shared" si="14"/>
        <v>#DIV/0!</v>
      </c>
      <c r="W122" s="10"/>
      <c r="X122" s="10"/>
    </row>
    <row r="123" spans="1:24" ht="15.75" customHeight="1" x14ac:dyDescent="0.25">
      <c r="A123" s="6">
        <v>10</v>
      </c>
      <c r="B123" s="116" t="s">
        <v>522</v>
      </c>
      <c r="C123" s="8">
        <v>91</v>
      </c>
      <c r="D123" s="8">
        <v>77</v>
      </c>
      <c r="E123" s="8">
        <v>71</v>
      </c>
      <c r="F123" s="8"/>
      <c r="G123" s="8"/>
      <c r="H123" s="8"/>
      <c r="I123" s="8"/>
      <c r="J123" s="15">
        <f t="shared" si="10"/>
        <v>57.36</v>
      </c>
      <c r="K123" s="8">
        <v>88</v>
      </c>
      <c r="L123" s="8">
        <v>88</v>
      </c>
      <c r="M123" s="15">
        <f t="shared" si="11"/>
        <v>8.8000000000000007</v>
      </c>
      <c r="N123" s="8">
        <v>86</v>
      </c>
      <c r="O123" s="8">
        <v>86</v>
      </c>
      <c r="P123" s="15">
        <f t="shared" si="12"/>
        <v>8.6</v>
      </c>
      <c r="Q123" s="10"/>
      <c r="R123" s="201" t="str">
        <f t="shared" si="13"/>
        <v>BASICO</v>
      </c>
      <c r="S123" s="202"/>
      <c r="T123" s="202"/>
      <c r="U123" s="203"/>
      <c r="V123" s="14">
        <f t="shared" si="14"/>
        <v>74.759999999999991</v>
      </c>
      <c r="W123" s="10"/>
      <c r="X123" s="10"/>
    </row>
    <row r="124" spans="1:24" ht="15.75" customHeight="1" x14ac:dyDescent="0.25">
      <c r="A124" s="6">
        <v>11</v>
      </c>
      <c r="B124" s="67" t="s">
        <v>113</v>
      </c>
      <c r="C124" s="8"/>
      <c r="D124" s="8"/>
      <c r="E124" s="8"/>
      <c r="F124" s="8"/>
      <c r="G124" s="8"/>
      <c r="H124" s="8"/>
      <c r="I124" s="8"/>
      <c r="J124" s="15" t="e">
        <f t="shared" si="10"/>
        <v>#DIV/0!</v>
      </c>
      <c r="K124" s="8"/>
      <c r="L124" s="8"/>
      <c r="M124" s="15" t="e">
        <f t="shared" si="11"/>
        <v>#DIV/0!</v>
      </c>
      <c r="N124" s="8"/>
      <c r="O124" s="8"/>
      <c r="P124" s="15" t="e">
        <f t="shared" si="12"/>
        <v>#DIV/0!</v>
      </c>
      <c r="Q124" s="10"/>
      <c r="R124" s="201" t="e">
        <f t="shared" si="13"/>
        <v>#DIV/0!</v>
      </c>
      <c r="S124" s="202"/>
      <c r="T124" s="202"/>
      <c r="U124" s="203"/>
      <c r="V124" s="14" t="e">
        <f t="shared" si="14"/>
        <v>#DIV/0!</v>
      </c>
      <c r="W124" s="10"/>
      <c r="X124" s="10"/>
    </row>
    <row r="125" spans="1:24" ht="15.75" customHeight="1" x14ac:dyDescent="0.25">
      <c r="A125" s="6">
        <v>12</v>
      </c>
      <c r="B125" s="122" t="s">
        <v>825</v>
      </c>
      <c r="C125" s="8"/>
      <c r="D125" s="8"/>
      <c r="E125" s="8"/>
      <c r="F125" s="8"/>
      <c r="G125" s="8"/>
      <c r="H125" s="8"/>
      <c r="I125" s="8"/>
      <c r="J125" s="15" t="e">
        <f t="shared" si="10"/>
        <v>#DIV/0!</v>
      </c>
      <c r="K125" s="8"/>
      <c r="L125" s="8"/>
      <c r="M125" s="15" t="e">
        <f t="shared" si="11"/>
        <v>#DIV/0!</v>
      </c>
      <c r="N125" s="8"/>
      <c r="O125" s="8"/>
      <c r="P125" s="15" t="e">
        <f t="shared" si="12"/>
        <v>#DIV/0!</v>
      </c>
      <c r="Q125" s="10"/>
      <c r="R125" s="201" t="e">
        <f t="shared" si="13"/>
        <v>#DIV/0!</v>
      </c>
      <c r="S125" s="202"/>
      <c r="T125" s="202"/>
      <c r="U125" s="203"/>
      <c r="V125" s="14" t="e">
        <f t="shared" si="14"/>
        <v>#DIV/0!</v>
      </c>
      <c r="W125" s="10"/>
      <c r="X125" s="10"/>
    </row>
    <row r="126" spans="1:24" ht="15.75" customHeight="1" x14ac:dyDescent="0.25">
      <c r="A126" s="6">
        <v>13</v>
      </c>
      <c r="B126" s="116" t="s">
        <v>826</v>
      </c>
      <c r="C126" s="8"/>
      <c r="D126" s="8"/>
      <c r="E126" s="8"/>
      <c r="F126" s="8"/>
      <c r="G126" s="8"/>
      <c r="H126" s="8"/>
      <c r="I126" s="8"/>
      <c r="J126" s="15" t="e">
        <f t="shared" si="10"/>
        <v>#DIV/0!</v>
      </c>
      <c r="K126" s="8"/>
      <c r="L126" s="8"/>
      <c r="M126" s="15" t="e">
        <f t="shared" si="11"/>
        <v>#DIV/0!</v>
      </c>
      <c r="N126" s="8"/>
      <c r="O126" s="8"/>
      <c r="P126" s="15" t="e">
        <f t="shared" si="12"/>
        <v>#DIV/0!</v>
      </c>
      <c r="Q126" s="10"/>
      <c r="R126" s="201" t="e">
        <f t="shared" si="13"/>
        <v>#DIV/0!</v>
      </c>
      <c r="S126" s="202"/>
      <c r="T126" s="202"/>
      <c r="U126" s="203"/>
      <c r="V126" s="14" t="e">
        <f t="shared" si="14"/>
        <v>#DIV/0!</v>
      </c>
      <c r="W126" s="10"/>
      <c r="X126" s="10"/>
    </row>
    <row r="127" spans="1:24" ht="15.75" customHeight="1" x14ac:dyDescent="0.25">
      <c r="A127" s="6">
        <v>14</v>
      </c>
      <c r="B127" s="124" t="s">
        <v>523</v>
      </c>
      <c r="C127" s="8"/>
      <c r="D127" s="8"/>
      <c r="E127" s="8"/>
      <c r="F127" s="8"/>
      <c r="G127" s="8"/>
      <c r="H127" s="8"/>
      <c r="I127" s="8"/>
      <c r="J127" s="15" t="e">
        <f t="shared" si="10"/>
        <v>#DIV/0!</v>
      </c>
      <c r="K127" s="8"/>
      <c r="L127" s="8"/>
      <c r="M127" s="15" t="e">
        <f t="shared" si="11"/>
        <v>#DIV/0!</v>
      </c>
      <c r="N127" s="8"/>
      <c r="O127" s="8"/>
      <c r="P127" s="15" t="e">
        <f t="shared" si="12"/>
        <v>#DIV/0!</v>
      </c>
      <c r="Q127" s="10"/>
      <c r="R127" s="201" t="e">
        <f t="shared" si="13"/>
        <v>#DIV/0!</v>
      </c>
      <c r="S127" s="202"/>
      <c r="T127" s="202"/>
      <c r="U127" s="203"/>
      <c r="V127" s="14" t="e">
        <f t="shared" si="14"/>
        <v>#DIV/0!</v>
      </c>
      <c r="W127" s="10"/>
      <c r="X127" s="10"/>
    </row>
    <row r="128" spans="1:24" ht="15.75" customHeight="1" x14ac:dyDescent="0.25">
      <c r="A128" s="6">
        <v>15</v>
      </c>
      <c r="B128" s="116" t="s">
        <v>524</v>
      </c>
      <c r="C128" s="8"/>
      <c r="D128" s="8"/>
      <c r="E128" s="8"/>
      <c r="F128" s="8"/>
      <c r="G128" s="8"/>
      <c r="H128" s="8"/>
      <c r="I128" s="8"/>
      <c r="J128" s="15" t="e">
        <f t="shared" si="10"/>
        <v>#DIV/0!</v>
      </c>
      <c r="K128" s="8"/>
      <c r="L128" s="8"/>
      <c r="M128" s="15" t="e">
        <f t="shared" si="11"/>
        <v>#DIV/0!</v>
      </c>
      <c r="N128" s="8"/>
      <c r="O128" s="8"/>
      <c r="P128" s="15" t="e">
        <f t="shared" si="12"/>
        <v>#DIV/0!</v>
      </c>
      <c r="Q128" s="10"/>
      <c r="R128" s="201" t="e">
        <f t="shared" si="13"/>
        <v>#DIV/0!</v>
      </c>
      <c r="S128" s="202"/>
      <c r="T128" s="202"/>
      <c r="U128" s="203"/>
      <c r="V128" s="14" t="e">
        <f t="shared" si="14"/>
        <v>#DIV/0!</v>
      </c>
      <c r="W128" s="10"/>
      <c r="X128" s="10"/>
    </row>
    <row r="129" spans="1:24" ht="15.75" customHeight="1" x14ac:dyDescent="0.25">
      <c r="A129" s="6">
        <v>16</v>
      </c>
      <c r="B129" s="116" t="s">
        <v>525</v>
      </c>
      <c r="C129" s="8"/>
      <c r="D129" s="8"/>
      <c r="E129" s="8"/>
      <c r="F129" s="8"/>
      <c r="G129" s="8"/>
      <c r="H129" s="8"/>
      <c r="I129" s="8"/>
      <c r="J129" s="15" t="e">
        <f t="shared" si="10"/>
        <v>#DIV/0!</v>
      </c>
      <c r="K129" s="8"/>
      <c r="L129" s="8"/>
      <c r="M129" s="15" t="e">
        <f t="shared" si="11"/>
        <v>#DIV/0!</v>
      </c>
      <c r="N129" s="8"/>
      <c r="O129" s="8"/>
      <c r="P129" s="15" t="e">
        <f t="shared" si="12"/>
        <v>#DIV/0!</v>
      </c>
      <c r="Q129" s="10"/>
      <c r="R129" s="201" t="e">
        <f t="shared" si="13"/>
        <v>#DIV/0!</v>
      </c>
      <c r="S129" s="202"/>
      <c r="T129" s="202"/>
      <c r="U129" s="203"/>
      <c r="V129" s="14" t="e">
        <f t="shared" si="14"/>
        <v>#DIV/0!</v>
      </c>
      <c r="W129" s="10"/>
      <c r="X129" s="10"/>
    </row>
    <row r="130" spans="1:24" ht="15.75" customHeight="1" x14ac:dyDescent="0.25">
      <c r="A130" s="6">
        <v>17</v>
      </c>
      <c r="B130" s="116" t="s">
        <v>827</v>
      </c>
      <c r="C130" s="8"/>
      <c r="D130" s="8"/>
      <c r="E130" s="8"/>
      <c r="F130" s="8"/>
      <c r="G130" s="8"/>
      <c r="H130" s="8"/>
      <c r="I130" s="13"/>
      <c r="J130" s="15" t="e">
        <f t="shared" si="10"/>
        <v>#DIV/0!</v>
      </c>
      <c r="K130" s="8"/>
      <c r="L130" s="8"/>
      <c r="M130" s="15" t="e">
        <f t="shared" si="11"/>
        <v>#DIV/0!</v>
      </c>
      <c r="N130" s="8"/>
      <c r="O130" s="8"/>
      <c r="P130" s="15" t="e">
        <f t="shared" si="12"/>
        <v>#DIV/0!</v>
      </c>
      <c r="Q130" s="10"/>
      <c r="R130" s="201" t="e">
        <f t="shared" si="13"/>
        <v>#DIV/0!</v>
      </c>
      <c r="S130" s="202"/>
      <c r="T130" s="202"/>
      <c r="U130" s="203"/>
      <c r="V130" s="14" t="e">
        <f t="shared" si="14"/>
        <v>#DIV/0!</v>
      </c>
      <c r="W130" s="10"/>
      <c r="X130" s="10"/>
    </row>
    <row r="131" spans="1:24" ht="15.75" customHeight="1" x14ac:dyDescent="0.25">
      <c r="A131" s="6">
        <v>18</v>
      </c>
      <c r="B131" s="67" t="s">
        <v>476</v>
      </c>
      <c r="C131" s="8"/>
      <c r="D131" s="8"/>
      <c r="E131" s="8"/>
      <c r="F131" s="8"/>
      <c r="G131" s="8"/>
      <c r="H131" s="8"/>
      <c r="I131" s="8"/>
      <c r="J131" s="15" t="e">
        <f t="shared" si="10"/>
        <v>#DIV/0!</v>
      </c>
      <c r="K131" s="8"/>
      <c r="L131" s="8"/>
      <c r="M131" s="15" t="e">
        <f t="shared" si="11"/>
        <v>#DIV/0!</v>
      </c>
      <c r="N131" s="8"/>
      <c r="O131" s="8"/>
      <c r="P131" s="15" t="e">
        <f t="shared" si="12"/>
        <v>#DIV/0!</v>
      </c>
      <c r="Q131" s="10"/>
      <c r="R131" s="201" t="e">
        <f t="shared" si="13"/>
        <v>#DIV/0!</v>
      </c>
      <c r="S131" s="202"/>
      <c r="T131" s="202"/>
      <c r="U131" s="203"/>
      <c r="V131" s="14" t="e">
        <f t="shared" si="14"/>
        <v>#DIV/0!</v>
      </c>
      <c r="W131" s="10"/>
      <c r="X131" s="10"/>
    </row>
    <row r="132" spans="1:24" ht="15.75" customHeight="1" x14ac:dyDescent="0.25">
      <c r="A132" s="6">
        <v>19</v>
      </c>
      <c r="B132" s="116" t="s">
        <v>526</v>
      </c>
      <c r="C132" s="8"/>
      <c r="D132" s="8"/>
      <c r="E132" s="8"/>
      <c r="F132" s="8"/>
      <c r="G132" s="8"/>
      <c r="H132" s="8"/>
      <c r="I132" s="8"/>
      <c r="J132" s="15" t="e">
        <f t="shared" si="10"/>
        <v>#DIV/0!</v>
      </c>
      <c r="K132" s="8"/>
      <c r="L132" s="8"/>
      <c r="M132" s="15" t="e">
        <f t="shared" si="11"/>
        <v>#DIV/0!</v>
      </c>
      <c r="N132" s="8"/>
      <c r="O132" s="8"/>
      <c r="P132" s="15" t="e">
        <f t="shared" si="12"/>
        <v>#DIV/0!</v>
      </c>
      <c r="Q132" s="10"/>
      <c r="R132" s="201" t="e">
        <f t="shared" si="13"/>
        <v>#DIV/0!</v>
      </c>
      <c r="S132" s="202"/>
      <c r="T132" s="202"/>
      <c r="U132" s="203"/>
      <c r="V132" s="14" t="e">
        <f t="shared" si="14"/>
        <v>#DIV/0!</v>
      </c>
      <c r="W132" s="10"/>
      <c r="X132" s="10"/>
    </row>
    <row r="133" spans="1:24" ht="15.75" customHeight="1" x14ac:dyDescent="0.25">
      <c r="A133" s="6">
        <v>20</v>
      </c>
      <c r="B133" s="116" t="s">
        <v>527</v>
      </c>
      <c r="C133" s="8"/>
      <c r="D133" s="8"/>
      <c r="E133" s="8"/>
      <c r="F133" s="8"/>
      <c r="G133" s="8"/>
      <c r="H133" s="8"/>
      <c r="I133" s="8"/>
      <c r="J133" s="15" t="e">
        <f t="shared" si="10"/>
        <v>#DIV/0!</v>
      </c>
      <c r="K133" s="8"/>
      <c r="L133" s="8"/>
      <c r="M133" s="15" t="e">
        <f t="shared" si="11"/>
        <v>#DIV/0!</v>
      </c>
      <c r="N133" s="8"/>
      <c r="O133" s="8"/>
      <c r="P133" s="15" t="e">
        <f t="shared" si="12"/>
        <v>#DIV/0!</v>
      </c>
      <c r="Q133" s="10"/>
      <c r="R133" s="201" t="e">
        <f t="shared" si="13"/>
        <v>#DIV/0!</v>
      </c>
      <c r="S133" s="202"/>
      <c r="T133" s="202"/>
      <c r="U133" s="203"/>
      <c r="V133" s="14" t="e">
        <f t="shared" si="14"/>
        <v>#DIV/0!</v>
      </c>
      <c r="W133" s="10"/>
      <c r="X133" s="10"/>
    </row>
    <row r="134" spans="1:24" ht="15.75" customHeight="1" x14ac:dyDescent="0.25">
      <c r="A134" s="6">
        <v>21</v>
      </c>
      <c r="B134" s="116" t="s">
        <v>528</v>
      </c>
      <c r="C134" s="8"/>
      <c r="D134" s="8"/>
      <c r="E134" s="8"/>
      <c r="F134" s="8"/>
      <c r="G134" s="8"/>
      <c r="H134" s="8"/>
      <c r="I134" s="8"/>
      <c r="J134" s="15" t="e">
        <f t="shared" si="10"/>
        <v>#DIV/0!</v>
      </c>
      <c r="K134" s="8"/>
      <c r="L134" s="8"/>
      <c r="M134" s="15" t="e">
        <f t="shared" si="11"/>
        <v>#DIV/0!</v>
      </c>
      <c r="N134" s="8"/>
      <c r="O134" s="8"/>
      <c r="P134" s="15" t="e">
        <f t="shared" si="12"/>
        <v>#DIV/0!</v>
      </c>
      <c r="Q134" s="10"/>
      <c r="R134" s="201" t="e">
        <f t="shared" si="13"/>
        <v>#DIV/0!</v>
      </c>
      <c r="S134" s="202"/>
      <c r="T134" s="202"/>
      <c r="U134" s="203"/>
      <c r="V134" s="14" t="e">
        <f t="shared" si="14"/>
        <v>#DIV/0!</v>
      </c>
      <c r="W134" s="10"/>
      <c r="X134" s="10"/>
    </row>
    <row r="135" spans="1:24" ht="15.75" customHeight="1" x14ac:dyDescent="0.25">
      <c r="A135" s="6">
        <v>22</v>
      </c>
      <c r="B135" s="116" t="s">
        <v>529</v>
      </c>
      <c r="C135" s="8"/>
      <c r="D135" s="8"/>
      <c r="E135" s="8"/>
      <c r="F135" s="8"/>
      <c r="G135" s="8"/>
      <c r="H135" s="8"/>
      <c r="I135" s="8"/>
      <c r="J135" s="15" t="e">
        <f t="shared" si="10"/>
        <v>#DIV/0!</v>
      </c>
      <c r="K135" s="8"/>
      <c r="L135" s="8"/>
      <c r="M135" s="15" t="e">
        <f t="shared" si="11"/>
        <v>#DIV/0!</v>
      </c>
      <c r="N135" s="8"/>
      <c r="O135" s="8"/>
      <c r="P135" s="15" t="e">
        <f t="shared" si="12"/>
        <v>#DIV/0!</v>
      </c>
      <c r="Q135" s="10"/>
      <c r="R135" s="201" t="e">
        <f t="shared" si="13"/>
        <v>#DIV/0!</v>
      </c>
      <c r="S135" s="202"/>
      <c r="T135" s="202"/>
      <c r="U135" s="203"/>
      <c r="V135" s="14" t="e">
        <f t="shared" si="14"/>
        <v>#DIV/0!</v>
      </c>
      <c r="W135" s="10"/>
      <c r="X135" s="10"/>
    </row>
    <row r="136" spans="1:24" ht="15.75" customHeight="1" x14ac:dyDescent="0.25">
      <c r="A136" s="6">
        <v>23</v>
      </c>
      <c r="B136" s="116" t="s">
        <v>530</v>
      </c>
      <c r="C136" s="8"/>
      <c r="D136" s="8"/>
      <c r="E136" s="8"/>
      <c r="F136" s="8"/>
      <c r="G136" s="8"/>
      <c r="H136" s="8"/>
      <c r="I136" s="8"/>
      <c r="J136" s="15" t="e">
        <f t="shared" si="10"/>
        <v>#DIV/0!</v>
      </c>
      <c r="K136" s="8"/>
      <c r="L136" s="8"/>
      <c r="M136" s="15" t="e">
        <f t="shared" si="11"/>
        <v>#DIV/0!</v>
      </c>
      <c r="N136" s="8"/>
      <c r="O136" s="8"/>
      <c r="P136" s="15" t="e">
        <f t="shared" si="12"/>
        <v>#DIV/0!</v>
      </c>
      <c r="Q136" s="10"/>
      <c r="R136" s="201" t="e">
        <f t="shared" si="13"/>
        <v>#DIV/0!</v>
      </c>
      <c r="S136" s="202"/>
      <c r="T136" s="202"/>
      <c r="U136" s="203"/>
      <c r="V136" s="14" t="e">
        <f t="shared" si="14"/>
        <v>#DIV/0!</v>
      </c>
      <c r="W136" s="10"/>
      <c r="X136" s="10"/>
    </row>
    <row r="137" spans="1:24" ht="15.75" customHeight="1" x14ac:dyDescent="0.25">
      <c r="A137" s="6">
        <v>24</v>
      </c>
      <c r="B137" s="116" t="s">
        <v>135</v>
      </c>
      <c r="C137" s="8"/>
      <c r="D137" s="8"/>
      <c r="E137" s="8"/>
      <c r="F137" s="8"/>
      <c r="G137" s="8"/>
      <c r="H137" s="8"/>
      <c r="I137" s="8"/>
      <c r="J137" s="15" t="e">
        <f t="shared" si="10"/>
        <v>#DIV/0!</v>
      </c>
      <c r="K137" s="8"/>
      <c r="L137" s="8"/>
      <c r="M137" s="15" t="e">
        <f t="shared" si="11"/>
        <v>#DIV/0!</v>
      </c>
      <c r="N137" s="8"/>
      <c r="O137" s="8"/>
      <c r="P137" s="15" t="e">
        <f t="shared" si="12"/>
        <v>#DIV/0!</v>
      </c>
      <c r="Q137" s="10"/>
      <c r="R137" s="201" t="e">
        <f t="shared" si="13"/>
        <v>#DIV/0!</v>
      </c>
      <c r="S137" s="202"/>
      <c r="T137" s="202"/>
      <c r="U137" s="203"/>
      <c r="V137" s="14" t="e">
        <f t="shared" si="14"/>
        <v>#DIV/0!</v>
      </c>
      <c r="W137" s="10"/>
      <c r="X137" s="10"/>
    </row>
    <row r="138" spans="1:24" ht="15.75" customHeight="1" x14ac:dyDescent="0.25">
      <c r="A138" s="6">
        <v>25</v>
      </c>
      <c r="B138" s="116" t="s">
        <v>531</v>
      </c>
      <c r="C138" s="8"/>
      <c r="D138" s="8"/>
      <c r="E138" s="8"/>
      <c r="F138" s="8"/>
      <c r="G138" s="8"/>
      <c r="H138" s="8"/>
      <c r="I138" s="8"/>
      <c r="J138" s="15" t="e">
        <f t="shared" si="10"/>
        <v>#DIV/0!</v>
      </c>
      <c r="K138" s="8"/>
      <c r="L138" s="8"/>
      <c r="M138" s="15" t="e">
        <f t="shared" si="11"/>
        <v>#DIV/0!</v>
      </c>
      <c r="N138" s="8"/>
      <c r="O138" s="8"/>
      <c r="P138" s="15" t="e">
        <f t="shared" si="12"/>
        <v>#DIV/0!</v>
      </c>
      <c r="Q138" s="10"/>
      <c r="R138" s="201" t="e">
        <f t="shared" si="13"/>
        <v>#DIV/0!</v>
      </c>
      <c r="S138" s="202"/>
      <c r="T138" s="202"/>
      <c r="U138" s="203"/>
      <c r="V138" s="14" t="e">
        <f t="shared" si="14"/>
        <v>#DIV/0!</v>
      </c>
      <c r="W138" s="10"/>
      <c r="X138" s="10"/>
    </row>
    <row r="139" spans="1:24" ht="15.75" customHeight="1" x14ac:dyDescent="0.25">
      <c r="A139" s="6">
        <v>26</v>
      </c>
      <c r="B139" s="116" t="s">
        <v>532</v>
      </c>
      <c r="C139" s="8"/>
      <c r="D139" s="8"/>
      <c r="E139" s="8"/>
      <c r="F139" s="8"/>
      <c r="G139" s="8"/>
      <c r="H139" s="8"/>
      <c r="I139" s="8"/>
      <c r="J139" s="15" t="e">
        <f t="shared" si="10"/>
        <v>#DIV/0!</v>
      </c>
      <c r="K139" s="8"/>
      <c r="L139" s="8"/>
      <c r="M139" s="15" t="e">
        <f t="shared" si="11"/>
        <v>#DIV/0!</v>
      </c>
      <c r="N139" s="8"/>
      <c r="O139" s="8"/>
      <c r="P139" s="15" t="e">
        <f t="shared" si="12"/>
        <v>#DIV/0!</v>
      </c>
      <c r="Q139" s="10"/>
      <c r="R139" s="201" t="e">
        <f t="shared" si="13"/>
        <v>#DIV/0!</v>
      </c>
      <c r="S139" s="202"/>
      <c r="T139" s="202"/>
      <c r="U139" s="203"/>
      <c r="V139" s="14" t="e">
        <f t="shared" si="14"/>
        <v>#DIV/0!</v>
      </c>
      <c r="W139" s="10"/>
      <c r="X139" s="10"/>
    </row>
    <row r="140" spans="1:24" ht="15.75" customHeight="1" x14ac:dyDescent="0.25">
      <c r="A140" s="6">
        <v>27</v>
      </c>
      <c r="B140" s="116" t="s">
        <v>533</v>
      </c>
      <c r="C140" s="8"/>
      <c r="D140" s="8"/>
      <c r="E140" s="8"/>
      <c r="F140" s="8"/>
      <c r="G140" s="8"/>
      <c r="H140" s="8"/>
      <c r="I140" s="8"/>
      <c r="J140" s="15" t="e">
        <f t="shared" si="10"/>
        <v>#DIV/0!</v>
      </c>
      <c r="K140" s="8"/>
      <c r="L140" s="8"/>
      <c r="M140" s="15" t="e">
        <f t="shared" si="11"/>
        <v>#DIV/0!</v>
      </c>
      <c r="N140" s="8"/>
      <c r="O140" s="8"/>
      <c r="P140" s="15" t="e">
        <f t="shared" si="12"/>
        <v>#DIV/0!</v>
      </c>
      <c r="Q140" s="10"/>
      <c r="R140" s="201" t="e">
        <f t="shared" si="13"/>
        <v>#DIV/0!</v>
      </c>
      <c r="S140" s="202"/>
      <c r="T140" s="202"/>
      <c r="U140" s="203"/>
      <c r="V140" s="14" t="e">
        <f t="shared" si="14"/>
        <v>#DIV/0!</v>
      </c>
      <c r="W140" s="10"/>
      <c r="X140" s="10"/>
    </row>
    <row r="141" spans="1:24" ht="15.75" customHeight="1" x14ac:dyDescent="0.25">
      <c r="A141" s="6">
        <v>28</v>
      </c>
      <c r="B141" s="116" t="s">
        <v>534</v>
      </c>
      <c r="C141" s="8"/>
      <c r="D141" s="8"/>
      <c r="E141" s="8"/>
      <c r="F141" s="8"/>
      <c r="G141" s="8"/>
      <c r="H141" s="8"/>
      <c r="I141" s="8"/>
      <c r="J141" s="15" t="e">
        <f t="shared" si="10"/>
        <v>#DIV/0!</v>
      </c>
      <c r="K141" s="8"/>
      <c r="L141" s="8"/>
      <c r="M141" s="15" t="e">
        <f t="shared" si="11"/>
        <v>#DIV/0!</v>
      </c>
      <c r="N141" s="8"/>
      <c r="O141" s="8"/>
      <c r="P141" s="15" t="e">
        <f t="shared" si="12"/>
        <v>#DIV/0!</v>
      </c>
      <c r="Q141" s="10"/>
      <c r="R141" s="201" t="e">
        <f t="shared" si="13"/>
        <v>#DIV/0!</v>
      </c>
      <c r="S141" s="202"/>
      <c r="T141" s="202"/>
      <c r="U141" s="203"/>
      <c r="V141" s="14" t="e">
        <f t="shared" si="14"/>
        <v>#DIV/0!</v>
      </c>
      <c r="W141" s="10"/>
      <c r="X141" s="10"/>
    </row>
    <row r="142" spans="1:24" ht="15.75" customHeight="1" x14ac:dyDescent="0.25">
      <c r="A142" s="6">
        <v>29</v>
      </c>
      <c r="B142" s="116" t="s">
        <v>535</v>
      </c>
      <c r="C142" s="8"/>
      <c r="D142" s="8"/>
      <c r="E142" s="8"/>
      <c r="F142" s="8"/>
      <c r="G142" s="8"/>
      <c r="H142" s="8"/>
      <c r="I142" s="8"/>
      <c r="J142" s="15" t="e">
        <f t="shared" si="10"/>
        <v>#DIV/0!</v>
      </c>
      <c r="K142" s="8"/>
      <c r="L142" s="8"/>
      <c r="M142" s="15" t="e">
        <f t="shared" si="11"/>
        <v>#DIV/0!</v>
      </c>
      <c r="N142" s="8"/>
      <c r="O142" s="8"/>
      <c r="P142" s="15" t="e">
        <f t="shared" si="12"/>
        <v>#DIV/0!</v>
      </c>
      <c r="Q142" s="10"/>
      <c r="R142" s="201" t="e">
        <f t="shared" si="13"/>
        <v>#DIV/0!</v>
      </c>
      <c r="S142" s="202"/>
      <c r="T142" s="202"/>
      <c r="U142" s="203"/>
      <c r="V142" s="14" t="e">
        <f t="shared" si="14"/>
        <v>#DIV/0!</v>
      </c>
      <c r="W142" s="10"/>
      <c r="X142" s="10"/>
    </row>
    <row r="143" spans="1:24" ht="15.75" customHeight="1" x14ac:dyDescent="0.25">
      <c r="A143" s="6">
        <v>30</v>
      </c>
      <c r="B143" s="116" t="s">
        <v>536</v>
      </c>
      <c r="C143" s="8"/>
      <c r="D143" s="8"/>
      <c r="E143" s="8"/>
      <c r="F143" s="8"/>
      <c r="G143" s="8"/>
      <c r="H143" s="8"/>
      <c r="I143" s="8"/>
      <c r="J143" s="15" t="e">
        <f t="shared" si="10"/>
        <v>#DIV/0!</v>
      </c>
      <c r="K143" s="8"/>
      <c r="L143" s="8"/>
      <c r="M143" s="15" t="e">
        <f t="shared" si="11"/>
        <v>#DIV/0!</v>
      </c>
      <c r="N143" s="8"/>
      <c r="O143" s="8"/>
      <c r="P143" s="15" t="e">
        <f t="shared" si="12"/>
        <v>#DIV/0!</v>
      </c>
      <c r="Q143" s="10"/>
      <c r="R143" s="201" t="e">
        <f t="shared" si="13"/>
        <v>#DIV/0!</v>
      </c>
      <c r="S143" s="202"/>
      <c r="T143" s="202"/>
      <c r="U143" s="203"/>
      <c r="V143" s="14" t="e">
        <f t="shared" si="14"/>
        <v>#DIV/0!</v>
      </c>
      <c r="W143" s="10"/>
      <c r="X143" s="10"/>
    </row>
    <row r="144" spans="1:24" ht="15.75" customHeight="1" x14ac:dyDescent="0.25">
      <c r="A144" s="6">
        <v>31</v>
      </c>
      <c r="B144" s="116" t="s">
        <v>556</v>
      </c>
      <c r="C144" s="8"/>
      <c r="D144" s="8"/>
      <c r="E144" s="8"/>
      <c r="F144" s="8"/>
      <c r="G144" s="8"/>
      <c r="H144" s="8"/>
      <c r="I144" s="8"/>
      <c r="J144" s="15" t="e">
        <f t="shared" si="10"/>
        <v>#DIV/0!</v>
      </c>
      <c r="K144" s="8"/>
      <c r="L144" s="8"/>
      <c r="M144" s="15" t="e">
        <f t="shared" si="11"/>
        <v>#DIV/0!</v>
      </c>
      <c r="N144" s="8"/>
      <c r="O144" s="8"/>
      <c r="P144" s="15" t="e">
        <f t="shared" si="12"/>
        <v>#DIV/0!</v>
      </c>
      <c r="Q144" s="10"/>
      <c r="R144" s="201" t="e">
        <f t="shared" si="13"/>
        <v>#DIV/0!</v>
      </c>
      <c r="S144" s="202"/>
      <c r="T144" s="202"/>
      <c r="U144" s="203"/>
      <c r="V144" s="14" t="e">
        <f t="shared" si="14"/>
        <v>#DIV/0!</v>
      </c>
      <c r="W144" s="10"/>
      <c r="X144" s="10"/>
    </row>
    <row r="145" spans="1:24" ht="15.75" customHeight="1" x14ac:dyDescent="0.25">
      <c r="A145" s="6">
        <v>32</v>
      </c>
      <c r="B145" s="67" t="s">
        <v>106</v>
      </c>
      <c r="C145" s="8"/>
      <c r="D145" s="8"/>
      <c r="E145" s="8"/>
      <c r="F145" s="8"/>
      <c r="G145" s="8"/>
      <c r="H145" s="8"/>
      <c r="I145" s="8"/>
      <c r="J145" s="15" t="e">
        <f t="shared" si="10"/>
        <v>#DIV/0!</v>
      </c>
      <c r="K145" s="8"/>
      <c r="L145" s="8"/>
      <c r="M145" s="15" t="e">
        <f t="shared" si="11"/>
        <v>#DIV/0!</v>
      </c>
      <c r="N145" s="8"/>
      <c r="O145" s="8"/>
      <c r="P145" s="15" t="e">
        <f t="shared" si="12"/>
        <v>#DIV/0!</v>
      </c>
      <c r="Q145" s="10"/>
      <c r="R145" s="201" t="e">
        <f t="shared" si="13"/>
        <v>#DIV/0!</v>
      </c>
      <c r="S145" s="202"/>
      <c r="T145" s="202"/>
      <c r="U145" s="203"/>
      <c r="V145" s="14" t="e">
        <f t="shared" si="14"/>
        <v>#DIV/0!</v>
      </c>
      <c r="W145" s="10"/>
      <c r="X145" s="10"/>
    </row>
    <row r="146" spans="1:24" ht="15.75" customHeight="1" x14ac:dyDescent="0.25">
      <c r="A146" s="6">
        <v>33</v>
      </c>
      <c r="B146" s="116" t="s">
        <v>537</v>
      </c>
      <c r="C146" s="8"/>
      <c r="D146" s="8"/>
      <c r="E146" s="8"/>
      <c r="F146" s="8"/>
      <c r="G146" s="8"/>
      <c r="H146" s="8"/>
      <c r="I146" s="8"/>
      <c r="J146" s="15" t="e">
        <f t="shared" si="10"/>
        <v>#DIV/0!</v>
      </c>
      <c r="K146" s="8"/>
      <c r="L146" s="8"/>
      <c r="M146" s="15" t="e">
        <f t="shared" si="11"/>
        <v>#DIV/0!</v>
      </c>
      <c r="N146" s="8"/>
      <c r="O146" s="8"/>
      <c r="P146" s="15" t="e">
        <f t="shared" si="12"/>
        <v>#DIV/0!</v>
      </c>
      <c r="Q146" s="10"/>
      <c r="R146" s="201" t="e">
        <f t="shared" si="13"/>
        <v>#DIV/0!</v>
      </c>
      <c r="S146" s="202"/>
      <c r="T146" s="202"/>
      <c r="U146" s="203"/>
      <c r="V146" s="14" t="e">
        <f t="shared" si="14"/>
        <v>#DIV/0!</v>
      </c>
      <c r="W146" s="10"/>
      <c r="X146" s="10"/>
    </row>
    <row r="147" spans="1:24" ht="15.75" customHeight="1" x14ac:dyDescent="0.25">
      <c r="A147" s="6">
        <v>34</v>
      </c>
      <c r="B147" s="116" t="s">
        <v>538</v>
      </c>
      <c r="C147" s="8"/>
      <c r="D147" s="8"/>
      <c r="E147" s="8"/>
      <c r="F147" s="8"/>
      <c r="G147" s="8"/>
      <c r="H147" s="8"/>
      <c r="I147" s="8"/>
      <c r="J147" s="15" t="e">
        <f t="shared" si="10"/>
        <v>#DIV/0!</v>
      </c>
      <c r="K147" s="8"/>
      <c r="L147" s="8"/>
      <c r="M147" s="15" t="e">
        <f t="shared" si="11"/>
        <v>#DIV/0!</v>
      </c>
      <c r="N147" s="8"/>
      <c r="O147" s="8"/>
      <c r="P147" s="15" t="e">
        <f t="shared" si="12"/>
        <v>#DIV/0!</v>
      </c>
      <c r="Q147" s="10"/>
      <c r="R147" s="201" t="e">
        <f t="shared" si="13"/>
        <v>#DIV/0!</v>
      </c>
      <c r="S147" s="202"/>
      <c r="T147" s="202"/>
      <c r="U147" s="203"/>
      <c r="V147" s="14" t="e">
        <f t="shared" si="14"/>
        <v>#DIV/0!</v>
      </c>
      <c r="W147" s="10"/>
      <c r="X147" s="10"/>
    </row>
    <row r="148" spans="1:24" ht="15.75" customHeight="1" x14ac:dyDescent="0.25">
      <c r="A148" s="6">
        <v>35</v>
      </c>
      <c r="B148" s="116" t="s">
        <v>539</v>
      </c>
      <c r="C148" s="8"/>
      <c r="D148" s="8"/>
      <c r="E148" s="8"/>
      <c r="F148" s="8"/>
      <c r="G148" s="8"/>
      <c r="H148" s="8"/>
      <c r="I148" s="8"/>
      <c r="J148" s="15" t="e">
        <f t="shared" si="10"/>
        <v>#DIV/0!</v>
      </c>
      <c r="K148" s="8"/>
      <c r="L148" s="8"/>
      <c r="M148" s="15" t="e">
        <f t="shared" si="11"/>
        <v>#DIV/0!</v>
      </c>
      <c r="N148" s="8"/>
      <c r="O148" s="8"/>
      <c r="P148" s="15" t="e">
        <f t="shared" si="12"/>
        <v>#DIV/0!</v>
      </c>
      <c r="Q148" s="10"/>
      <c r="R148" s="201" t="e">
        <f t="shared" si="13"/>
        <v>#DIV/0!</v>
      </c>
      <c r="S148" s="202"/>
      <c r="T148" s="202"/>
      <c r="U148" s="203"/>
      <c r="V148" s="14" t="e">
        <f t="shared" si="14"/>
        <v>#DIV/0!</v>
      </c>
      <c r="W148" s="10"/>
      <c r="X148" s="10"/>
    </row>
    <row r="149" spans="1:24" ht="15.75" customHeight="1" x14ac:dyDescent="0.25">
      <c r="A149" s="6">
        <v>36</v>
      </c>
      <c r="B149" s="168"/>
      <c r="C149" s="8"/>
      <c r="D149" s="8"/>
      <c r="E149" s="8"/>
      <c r="F149" s="8"/>
      <c r="G149" s="8"/>
      <c r="H149" s="8"/>
      <c r="I149" s="8"/>
      <c r="J149" s="15" t="e">
        <f t="shared" si="10"/>
        <v>#DIV/0!</v>
      </c>
      <c r="K149" s="8"/>
      <c r="L149" s="8"/>
      <c r="M149" s="15" t="e">
        <f t="shared" si="11"/>
        <v>#DIV/0!</v>
      </c>
      <c r="N149" s="8"/>
      <c r="O149" s="8"/>
      <c r="P149" s="15" t="e">
        <f t="shared" si="12"/>
        <v>#DIV/0!</v>
      </c>
      <c r="Q149" s="10"/>
      <c r="R149" s="201" t="e">
        <f t="shared" si="13"/>
        <v>#DIV/0!</v>
      </c>
      <c r="S149" s="202"/>
      <c r="T149" s="202"/>
      <c r="U149" s="203"/>
      <c r="V149" s="14" t="e">
        <f t="shared" si="14"/>
        <v>#DIV/0!</v>
      </c>
      <c r="W149" s="10"/>
      <c r="X149" s="10"/>
    </row>
    <row r="150" spans="1:24" ht="15.75" customHeight="1" x14ac:dyDescent="0.25">
      <c r="A150" s="6">
        <v>37</v>
      </c>
      <c r="B150" s="67"/>
      <c r="C150" s="8"/>
      <c r="D150" s="8"/>
      <c r="E150" s="8"/>
      <c r="F150" s="8"/>
      <c r="G150" s="8"/>
      <c r="H150" s="8"/>
      <c r="I150" s="8"/>
      <c r="J150" s="15" t="e">
        <f t="shared" si="10"/>
        <v>#DIV/0!</v>
      </c>
      <c r="K150" s="8"/>
      <c r="L150" s="8"/>
      <c r="M150" s="15" t="e">
        <f t="shared" si="11"/>
        <v>#DIV/0!</v>
      </c>
      <c r="N150" s="8"/>
      <c r="O150" s="8"/>
      <c r="P150" s="15" t="e">
        <f t="shared" si="12"/>
        <v>#DIV/0!</v>
      </c>
      <c r="Q150" s="10"/>
      <c r="R150" s="201" t="e">
        <f t="shared" si="13"/>
        <v>#DIV/0!</v>
      </c>
      <c r="S150" s="202"/>
      <c r="T150" s="202"/>
      <c r="U150" s="203"/>
      <c r="V150" s="14" t="e">
        <f t="shared" si="14"/>
        <v>#DIV/0!</v>
      </c>
      <c r="W150" s="10"/>
      <c r="X150" s="10"/>
    </row>
    <row r="151" spans="1:24" ht="15.75" customHeight="1" x14ac:dyDescent="0.25">
      <c r="A151" s="6">
        <v>38</v>
      </c>
      <c r="B151" s="76" t="s">
        <v>61</v>
      </c>
      <c r="C151" s="8"/>
      <c r="D151" s="8"/>
      <c r="E151" s="8"/>
      <c r="F151" s="8"/>
      <c r="G151" s="8"/>
      <c r="H151" s="8"/>
      <c r="I151" s="8"/>
      <c r="J151" s="15" t="e">
        <f t="shared" si="10"/>
        <v>#DIV/0!</v>
      </c>
      <c r="K151" s="8"/>
      <c r="L151" s="8"/>
      <c r="M151" s="15" t="e">
        <f t="shared" si="11"/>
        <v>#DIV/0!</v>
      </c>
      <c r="N151" s="8"/>
      <c r="O151" s="8"/>
      <c r="P151" s="15" t="e">
        <f t="shared" si="12"/>
        <v>#DIV/0!</v>
      </c>
      <c r="Q151" s="10"/>
      <c r="R151" s="201" t="e">
        <f t="shared" si="13"/>
        <v>#DIV/0!</v>
      </c>
      <c r="S151" s="202"/>
      <c r="T151" s="202"/>
      <c r="U151" s="203"/>
      <c r="V151" s="14" t="e">
        <f t="shared" si="14"/>
        <v>#DIV/0!</v>
      </c>
      <c r="W151" s="10"/>
      <c r="X151" s="10"/>
    </row>
    <row r="152" spans="1:24" ht="15.75" customHeight="1" x14ac:dyDescent="0.25">
      <c r="A152" s="6">
        <v>39</v>
      </c>
      <c r="B152" s="76"/>
      <c r="C152" s="8"/>
      <c r="D152" s="8"/>
      <c r="E152" s="8"/>
      <c r="F152" s="8"/>
      <c r="G152" s="8"/>
      <c r="H152" s="8"/>
      <c r="I152" s="8"/>
      <c r="J152" s="15" t="e">
        <f t="shared" si="10"/>
        <v>#DIV/0!</v>
      </c>
      <c r="K152" s="8"/>
      <c r="L152" s="8"/>
      <c r="M152" s="15" t="e">
        <f t="shared" si="11"/>
        <v>#DIV/0!</v>
      </c>
      <c r="N152" s="8"/>
      <c r="O152" s="8"/>
      <c r="P152" s="15" t="e">
        <f t="shared" si="12"/>
        <v>#DIV/0!</v>
      </c>
      <c r="Q152" s="10"/>
      <c r="R152" s="201" t="e">
        <f t="shared" si="13"/>
        <v>#DIV/0!</v>
      </c>
      <c r="S152" s="202"/>
      <c r="T152" s="202"/>
      <c r="U152" s="203"/>
      <c r="V152" s="14" t="e">
        <f t="shared" si="14"/>
        <v>#DIV/0!</v>
      </c>
      <c r="W152" s="10"/>
      <c r="X152" s="10"/>
    </row>
    <row r="153" spans="1:24" ht="15.75" customHeight="1" x14ac:dyDescent="0.25">
      <c r="A153" s="6">
        <v>40</v>
      </c>
      <c r="B153" s="60" t="s">
        <v>61</v>
      </c>
      <c r="C153" s="8"/>
      <c r="D153" s="8"/>
      <c r="E153" s="8"/>
      <c r="F153" s="8"/>
      <c r="G153" s="8"/>
      <c r="H153" s="8"/>
      <c r="I153" s="8"/>
      <c r="J153" s="15" t="e">
        <f t="shared" si="10"/>
        <v>#DIV/0!</v>
      </c>
      <c r="K153" s="8"/>
      <c r="L153" s="8"/>
      <c r="M153" s="15" t="e">
        <f t="shared" si="11"/>
        <v>#DIV/0!</v>
      </c>
      <c r="N153" s="8"/>
      <c r="O153" s="8"/>
      <c r="P153" s="15" t="e">
        <f t="shared" si="12"/>
        <v>#DIV/0!</v>
      </c>
      <c r="Q153" s="10"/>
      <c r="R153" s="201" t="e">
        <f t="shared" si="13"/>
        <v>#DIV/0!</v>
      </c>
      <c r="S153" s="202"/>
      <c r="T153" s="202"/>
      <c r="U153" s="203"/>
      <c r="V153" s="14" t="e">
        <f t="shared" si="14"/>
        <v>#DIV/0!</v>
      </c>
      <c r="W153" s="10"/>
      <c r="X153" s="10"/>
    </row>
    <row r="154" spans="1:24" ht="15.75" customHeight="1" x14ac:dyDescent="0.25">
      <c r="A154" s="6">
        <v>41</v>
      </c>
      <c r="B154" s="60"/>
      <c r="C154" s="8"/>
      <c r="D154" s="8"/>
      <c r="E154" s="8"/>
      <c r="F154" s="8"/>
      <c r="G154" s="8"/>
      <c r="H154" s="8"/>
      <c r="I154" s="8"/>
      <c r="J154" s="15" t="e">
        <f t="shared" si="10"/>
        <v>#DIV/0!</v>
      </c>
      <c r="K154" s="8"/>
      <c r="L154" s="8"/>
      <c r="M154" s="15" t="e">
        <f t="shared" si="11"/>
        <v>#DIV/0!</v>
      </c>
      <c r="N154" s="8"/>
      <c r="O154" s="8"/>
      <c r="P154" s="15" t="e">
        <f t="shared" si="12"/>
        <v>#DIV/0!</v>
      </c>
      <c r="Q154" s="10"/>
      <c r="R154" s="201" t="e">
        <f t="shared" si="13"/>
        <v>#DIV/0!</v>
      </c>
      <c r="S154" s="202"/>
      <c r="T154" s="202"/>
      <c r="U154" s="203"/>
      <c r="V154" s="14" t="e">
        <f t="shared" si="14"/>
        <v>#DIV/0!</v>
      </c>
      <c r="W154" s="10"/>
      <c r="X154" s="10"/>
    </row>
    <row r="155" spans="1:24" ht="15.75" customHeight="1" x14ac:dyDescent="0.25">
      <c r="A155" s="6">
        <v>42</v>
      </c>
      <c r="B155" s="60"/>
      <c r="C155" s="8"/>
      <c r="D155" s="8"/>
      <c r="E155" s="8"/>
      <c r="F155" s="8"/>
      <c r="G155" s="8"/>
      <c r="H155" s="8"/>
      <c r="I155" s="8"/>
      <c r="J155" s="15" t="e">
        <f t="shared" si="10"/>
        <v>#DIV/0!</v>
      </c>
      <c r="K155" s="8"/>
      <c r="L155" s="8"/>
      <c r="M155" s="15" t="e">
        <f t="shared" si="11"/>
        <v>#DIV/0!</v>
      </c>
      <c r="N155" s="8"/>
      <c r="O155" s="8"/>
      <c r="P155" s="15" t="e">
        <f t="shared" si="12"/>
        <v>#DIV/0!</v>
      </c>
      <c r="Q155" s="10"/>
      <c r="R155" s="201" t="e">
        <f t="shared" si="13"/>
        <v>#DIV/0!</v>
      </c>
      <c r="S155" s="202"/>
      <c r="T155" s="202"/>
      <c r="U155" s="203"/>
      <c r="V155" s="14" t="e">
        <f t="shared" si="14"/>
        <v>#DIV/0!</v>
      </c>
      <c r="W155" s="10"/>
      <c r="X155" s="10"/>
    </row>
    <row r="156" spans="1:24" ht="15.75" customHeight="1" x14ac:dyDescent="0.25">
      <c r="A156" s="6">
        <v>43</v>
      </c>
      <c r="B156" s="60"/>
      <c r="C156" s="8"/>
      <c r="D156" s="8"/>
      <c r="E156" s="8"/>
      <c r="F156" s="8"/>
      <c r="G156" s="8"/>
      <c r="H156" s="8"/>
      <c r="I156" s="8"/>
      <c r="J156" s="15" t="e">
        <f t="shared" si="10"/>
        <v>#DIV/0!</v>
      </c>
      <c r="K156" s="8"/>
      <c r="L156" s="8"/>
      <c r="M156" s="15" t="e">
        <f t="shared" si="11"/>
        <v>#DIV/0!</v>
      </c>
      <c r="N156" s="8"/>
      <c r="O156" s="8"/>
      <c r="P156" s="15" t="e">
        <f t="shared" si="12"/>
        <v>#DIV/0!</v>
      </c>
      <c r="Q156" s="10"/>
      <c r="R156" s="201" t="e">
        <f t="shared" si="13"/>
        <v>#DIV/0!</v>
      </c>
      <c r="S156" s="202"/>
      <c r="T156" s="202"/>
      <c r="U156" s="203"/>
      <c r="V156" s="14" t="e">
        <f t="shared" si="14"/>
        <v>#DIV/0!</v>
      </c>
      <c r="W156" s="10"/>
      <c r="X156" s="10"/>
    </row>
    <row r="157" spans="1:24" ht="15.75" customHeight="1" x14ac:dyDescent="0.25">
      <c r="A157" s="6">
        <v>44</v>
      </c>
      <c r="B157" s="60"/>
      <c r="C157" s="8"/>
      <c r="D157" s="8"/>
      <c r="E157" s="8"/>
      <c r="F157" s="8"/>
      <c r="G157" s="8"/>
      <c r="H157" s="8"/>
      <c r="I157" s="8"/>
      <c r="J157" s="15" t="e">
        <f t="shared" si="10"/>
        <v>#DIV/0!</v>
      </c>
      <c r="K157" s="8"/>
      <c r="L157" s="8"/>
      <c r="M157" s="15" t="e">
        <f t="shared" si="11"/>
        <v>#DIV/0!</v>
      </c>
      <c r="N157" s="8"/>
      <c r="O157" s="8"/>
      <c r="P157" s="15" t="e">
        <f t="shared" si="12"/>
        <v>#DIV/0!</v>
      </c>
      <c r="Q157" s="10"/>
      <c r="R157" s="201" t="e">
        <f t="shared" si="13"/>
        <v>#DIV/0!</v>
      </c>
      <c r="S157" s="202"/>
      <c r="T157" s="202"/>
      <c r="U157" s="203"/>
      <c r="V157" s="14" t="e">
        <f t="shared" si="14"/>
        <v>#DIV/0!</v>
      </c>
      <c r="W157" s="10"/>
      <c r="X157" s="10"/>
    </row>
    <row r="158" spans="1:24" ht="15.75" customHeight="1" x14ac:dyDescent="0.25">
      <c r="A158" s="6">
        <v>45</v>
      </c>
      <c r="B158" s="60"/>
      <c r="C158" s="8"/>
      <c r="D158" s="8"/>
      <c r="E158" s="8"/>
      <c r="F158" s="8"/>
      <c r="G158" s="8"/>
      <c r="H158" s="8"/>
      <c r="I158" s="8"/>
      <c r="J158" s="15" t="e">
        <f t="shared" si="10"/>
        <v>#DIV/0!</v>
      </c>
      <c r="K158" s="8"/>
      <c r="L158" s="8"/>
      <c r="M158" s="15" t="e">
        <f t="shared" si="11"/>
        <v>#DIV/0!</v>
      </c>
      <c r="N158" s="8"/>
      <c r="O158" s="8"/>
      <c r="P158" s="15" t="e">
        <f t="shared" si="12"/>
        <v>#DIV/0!</v>
      </c>
      <c r="Q158" s="10"/>
      <c r="R158" s="201" t="e">
        <f t="shared" si="13"/>
        <v>#DIV/0!</v>
      </c>
      <c r="S158" s="202"/>
      <c r="T158" s="202"/>
      <c r="U158" s="203"/>
      <c r="V158" s="14" t="e">
        <f t="shared" si="14"/>
        <v>#DIV/0!</v>
      </c>
      <c r="W158" s="10"/>
      <c r="X158" s="10"/>
    </row>
    <row r="159" spans="1:24" ht="15.75" customHeight="1" thickBot="1" x14ac:dyDescent="0.3">
      <c r="A159" s="16">
        <v>46</v>
      </c>
      <c r="B159" s="61"/>
      <c r="C159" s="13"/>
      <c r="D159" s="13"/>
      <c r="E159" s="13"/>
      <c r="F159" s="13"/>
      <c r="G159" s="13"/>
      <c r="H159" s="13"/>
      <c r="I159" s="13"/>
      <c r="J159" s="15" t="e">
        <f t="shared" si="10"/>
        <v>#DIV/0!</v>
      </c>
      <c r="K159" s="13"/>
      <c r="L159" s="13"/>
      <c r="M159" s="18" t="e">
        <f t="shared" si="11"/>
        <v>#DIV/0!</v>
      </c>
      <c r="N159" s="13"/>
      <c r="O159" s="13"/>
      <c r="P159" s="18" t="e">
        <f t="shared" si="12"/>
        <v>#DIV/0!</v>
      </c>
      <c r="Q159" s="19"/>
      <c r="R159" s="274" t="e">
        <f t="shared" si="13"/>
        <v>#DIV/0!</v>
      </c>
      <c r="S159" s="275"/>
      <c r="T159" s="275"/>
      <c r="U159" s="276"/>
      <c r="V159" s="20" t="e">
        <f t="shared" si="14"/>
        <v>#DIV/0!</v>
      </c>
      <c r="W159" s="10"/>
      <c r="X159" s="10"/>
    </row>
    <row r="160" spans="1:24" ht="15.75" customHeight="1" x14ac:dyDescent="0.25">
      <c r="A160" s="263"/>
      <c r="B160" s="311"/>
      <c r="C160" s="257"/>
      <c r="D160" s="257"/>
      <c r="E160" s="267"/>
      <c r="F160" s="270"/>
      <c r="G160" s="270"/>
      <c r="H160" s="270"/>
      <c r="I160" s="270"/>
      <c r="J160" s="272"/>
      <c r="K160" s="272"/>
      <c r="L160" s="257"/>
      <c r="M160" s="259"/>
      <c r="N160" s="259"/>
      <c r="O160" s="259"/>
      <c r="P160" s="259"/>
      <c r="Q160" s="261"/>
      <c r="R160" s="277"/>
      <c r="S160" s="278"/>
      <c r="T160" s="279"/>
      <c r="U160" s="283"/>
      <c r="V160" s="284"/>
      <c r="W160" s="255"/>
      <c r="X160" s="181"/>
    </row>
    <row r="161" spans="1:24" ht="15.75" customHeight="1" x14ac:dyDescent="0.25">
      <c r="A161" s="264"/>
      <c r="B161" s="312"/>
      <c r="C161" s="205"/>
      <c r="D161" s="205"/>
      <c r="E161" s="210"/>
      <c r="F161" s="211"/>
      <c r="G161" s="211"/>
      <c r="H161" s="211"/>
      <c r="I161" s="211"/>
      <c r="J161" s="204"/>
      <c r="K161" s="204"/>
      <c r="L161" s="205"/>
      <c r="M161" s="185"/>
      <c r="N161" s="185"/>
      <c r="O161" s="185"/>
      <c r="P161" s="185"/>
      <c r="Q161" s="187"/>
      <c r="R161" s="188"/>
      <c r="S161" s="189"/>
      <c r="T161" s="190"/>
      <c r="U161" s="194"/>
      <c r="V161" s="285"/>
      <c r="W161" s="255"/>
      <c r="X161" s="181"/>
    </row>
    <row r="162" spans="1:24" ht="15.75" customHeight="1" x14ac:dyDescent="0.25">
      <c r="A162" s="264"/>
      <c r="B162" s="313"/>
      <c r="C162" s="205"/>
      <c r="D162" s="205"/>
      <c r="E162" s="210"/>
      <c r="F162" s="211"/>
      <c r="G162" s="211"/>
      <c r="H162" s="211"/>
      <c r="I162" s="211"/>
      <c r="J162" s="204"/>
      <c r="K162" s="204"/>
      <c r="L162" s="205"/>
      <c r="M162" s="185"/>
      <c r="N162" s="185"/>
      <c r="O162" s="185"/>
      <c r="P162" s="185"/>
      <c r="Q162" s="187"/>
      <c r="R162" s="188"/>
      <c r="S162" s="189"/>
      <c r="T162" s="190"/>
      <c r="U162" s="194"/>
      <c r="V162" s="285"/>
      <c r="W162" s="255"/>
      <c r="X162" s="181"/>
    </row>
    <row r="163" spans="1:24" ht="15.75" customHeight="1" thickBot="1" x14ac:dyDescent="0.3">
      <c r="A163" s="265"/>
      <c r="B163" s="314"/>
      <c r="C163" s="258"/>
      <c r="D163" s="258"/>
      <c r="E163" s="268"/>
      <c r="F163" s="271"/>
      <c r="G163" s="271"/>
      <c r="H163" s="271"/>
      <c r="I163" s="271"/>
      <c r="J163" s="273"/>
      <c r="K163" s="273"/>
      <c r="L163" s="258"/>
      <c r="M163" s="260"/>
      <c r="N163" s="260"/>
      <c r="O163" s="260"/>
      <c r="P163" s="260"/>
      <c r="Q163" s="262"/>
      <c r="R163" s="280"/>
      <c r="S163" s="281"/>
      <c r="T163" s="282"/>
      <c r="U163" s="286"/>
      <c r="V163" s="287"/>
      <c r="W163" s="256"/>
      <c r="X163" s="182"/>
    </row>
    <row r="164" spans="1:24" ht="15.75" customHeight="1" thickBot="1" x14ac:dyDescent="0.3"/>
    <row r="165" spans="1:24" ht="87.75" customHeight="1" thickBot="1" x14ac:dyDescent="0.3">
      <c r="A165" s="290"/>
      <c r="B165" s="291"/>
      <c r="C165" s="291"/>
      <c r="D165" s="291"/>
      <c r="E165" s="291"/>
      <c r="F165" s="291"/>
      <c r="G165" s="291"/>
      <c r="H165" s="291"/>
      <c r="I165" s="291"/>
      <c r="J165" s="291"/>
      <c r="K165" s="291"/>
      <c r="L165" s="291"/>
      <c r="M165" s="291"/>
      <c r="N165" s="291"/>
      <c r="O165" s="291"/>
      <c r="P165" s="292"/>
      <c r="Q165" s="310"/>
      <c r="R165" s="228"/>
      <c r="S165" s="228"/>
      <c r="T165" s="228"/>
      <c r="U165" s="228"/>
      <c r="V165" s="228"/>
      <c r="W165" s="228"/>
      <c r="X165" s="229"/>
    </row>
    <row r="166" spans="1:24" ht="15.75" customHeight="1" thickBot="1" x14ac:dyDescent="0.3">
      <c r="A166" s="317" t="s">
        <v>932</v>
      </c>
      <c r="B166" s="318"/>
      <c r="C166" s="298" t="s">
        <v>931</v>
      </c>
      <c r="D166" s="299"/>
      <c r="E166" s="299"/>
      <c r="F166" s="299"/>
      <c r="G166" s="299"/>
      <c r="H166" s="299"/>
      <c r="I166" s="300"/>
      <c r="J166" s="223" t="s">
        <v>20</v>
      </c>
      <c r="K166" s="224"/>
      <c r="L166" s="224"/>
      <c r="M166" s="224"/>
      <c r="N166" s="225"/>
      <c r="O166" s="225"/>
      <c r="P166" s="225"/>
      <c r="Q166" s="226"/>
      <c r="R166" s="227" t="s">
        <v>548</v>
      </c>
      <c r="S166" s="228"/>
      <c r="T166" s="228"/>
      <c r="U166" s="228"/>
      <c r="V166" s="228"/>
      <c r="W166" s="228"/>
      <c r="X166" s="229"/>
    </row>
    <row r="167" spans="1:24" ht="15.75" customHeight="1" x14ac:dyDescent="0.25">
      <c r="A167" s="230" t="s">
        <v>0</v>
      </c>
      <c r="B167" s="307" t="s">
        <v>1</v>
      </c>
      <c r="C167" s="235" t="s">
        <v>12</v>
      </c>
      <c r="D167" s="235"/>
      <c r="E167" s="235"/>
      <c r="F167" s="235"/>
      <c r="G167" s="235"/>
      <c r="H167" s="235"/>
      <c r="I167" s="235"/>
      <c r="J167" s="235"/>
      <c r="K167" s="236" t="s">
        <v>13</v>
      </c>
      <c r="L167" s="237"/>
      <c r="M167" s="237"/>
      <c r="N167" s="240" t="s">
        <v>15</v>
      </c>
      <c r="O167" s="240"/>
      <c r="P167" s="240"/>
      <c r="Q167" s="241" t="s">
        <v>4</v>
      </c>
      <c r="R167" s="244" t="s">
        <v>11</v>
      </c>
      <c r="S167" s="244"/>
      <c r="T167" s="244"/>
      <c r="U167" s="244"/>
      <c r="V167" s="244"/>
      <c r="W167" s="246" t="s">
        <v>2</v>
      </c>
      <c r="X167" s="247"/>
    </row>
    <row r="168" spans="1:24" ht="15.75" customHeight="1" x14ac:dyDescent="0.25">
      <c r="A168" s="231"/>
      <c r="B168" s="308"/>
      <c r="C168" s="248" t="s">
        <v>6</v>
      </c>
      <c r="D168" s="248" t="s">
        <v>17</v>
      </c>
      <c r="E168" s="248" t="s">
        <v>5</v>
      </c>
      <c r="F168" s="250"/>
      <c r="G168" s="250"/>
      <c r="H168" s="250"/>
      <c r="I168" s="251" t="s">
        <v>16</v>
      </c>
      <c r="J168" s="253" t="s">
        <v>14</v>
      </c>
      <c r="K168" s="238"/>
      <c r="L168" s="239"/>
      <c r="M168" s="239"/>
      <c r="N168" s="240"/>
      <c r="O168" s="240"/>
      <c r="P168" s="240"/>
      <c r="Q168" s="242"/>
      <c r="R168" s="245"/>
      <c r="S168" s="245"/>
      <c r="T168" s="245"/>
      <c r="U168" s="245"/>
      <c r="V168" s="245"/>
      <c r="W168" s="187"/>
      <c r="X168" s="187"/>
    </row>
    <row r="169" spans="1:24" ht="29.25" customHeight="1" thickBot="1" x14ac:dyDescent="0.3">
      <c r="A169" s="232"/>
      <c r="B169" s="309"/>
      <c r="C169" s="249"/>
      <c r="D169" s="249"/>
      <c r="E169" s="249"/>
      <c r="F169" s="249"/>
      <c r="G169" s="249"/>
      <c r="H169" s="249"/>
      <c r="I169" s="252"/>
      <c r="J169" s="254"/>
      <c r="K169" s="2" t="s">
        <v>9</v>
      </c>
      <c r="L169" s="2" t="s">
        <v>10</v>
      </c>
      <c r="M169" s="21" t="s">
        <v>3</v>
      </c>
      <c r="N169" s="2" t="s">
        <v>9</v>
      </c>
      <c r="O169" s="2" t="s">
        <v>10</v>
      </c>
      <c r="P169" s="22" t="s">
        <v>3</v>
      </c>
      <c r="Q169" s="243"/>
      <c r="R169" s="198" t="s">
        <v>7</v>
      </c>
      <c r="S169" s="199"/>
      <c r="T169" s="199"/>
      <c r="U169" s="200"/>
      <c r="V169" s="23" t="s">
        <v>8</v>
      </c>
      <c r="W169" s="5">
        <v>1</v>
      </c>
      <c r="X169" s="5">
        <v>2</v>
      </c>
    </row>
    <row r="170" spans="1:24" ht="15.75" customHeight="1" x14ac:dyDescent="0.25">
      <c r="A170" s="6">
        <v>1</v>
      </c>
      <c r="B170" s="123" t="s">
        <v>828</v>
      </c>
      <c r="C170" s="8"/>
      <c r="D170" s="8"/>
      <c r="E170" s="8"/>
      <c r="F170" s="8"/>
      <c r="G170" s="8"/>
      <c r="H170" s="8"/>
      <c r="I170" s="9"/>
      <c r="J170" s="15" t="e">
        <f>((AVERAGE(C170:H170))*72%)+I170*8%</f>
        <v>#DIV/0!</v>
      </c>
      <c r="K170" s="8"/>
      <c r="L170" s="8"/>
      <c r="M170" s="15" t="e">
        <f>(AVERAGE(K170:L170))*10%</f>
        <v>#DIV/0!</v>
      </c>
      <c r="N170" s="9"/>
      <c r="O170" s="9"/>
      <c r="P170" s="15" t="e">
        <f>(AVERAGE(N170:O170))*10%</f>
        <v>#DIV/0!</v>
      </c>
      <c r="Q170" s="8"/>
      <c r="R170" s="201" t="e">
        <f>IF(V170&lt;65,"BAJO",IF(V170&lt;=79,"BASICO",IF(V170&lt;=89,"ALTO",IF(V170&lt;=100,"SUPERIOR"))))</f>
        <v>#DIV/0!</v>
      </c>
      <c r="S170" s="202"/>
      <c r="T170" s="202"/>
      <c r="U170" s="203"/>
      <c r="V170" s="14" t="e">
        <f>J170+M170+P170</f>
        <v>#DIV/0!</v>
      </c>
      <c r="W170" s="10"/>
      <c r="X170" s="10"/>
    </row>
    <row r="171" spans="1:24" ht="15.75" customHeight="1" x14ac:dyDescent="0.25">
      <c r="A171" s="6">
        <v>2</v>
      </c>
      <c r="B171" s="116" t="s">
        <v>439</v>
      </c>
      <c r="C171" s="8"/>
      <c r="D171" s="8"/>
      <c r="E171" s="8"/>
      <c r="F171" s="8"/>
      <c r="G171" s="8"/>
      <c r="H171" s="8"/>
      <c r="I171" s="9"/>
      <c r="J171" s="15" t="e">
        <f t="shared" ref="J171:J215" si="15">((AVERAGE(C171:H171))*72%)+I171*8%</f>
        <v>#DIV/0!</v>
      </c>
      <c r="K171" s="8"/>
      <c r="L171" s="8"/>
      <c r="M171" s="15" t="e">
        <f t="shared" ref="M171:M215" si="16">(AVERAGE(K171:L171))*10%</f>
        <v>#DIV/0!</v>
      </c>
      <c r="N171" s="8"/>
      <c r="O171" s="8"/>
      <c r="P171" s="15" t="e">
        <f t="shared" ref="P171:P215" si="17">(AVERAGE(N171:O171))*10%</f>
        <v>#DIV/0!</v>
      </c>
      <c r="Q171" s="11"/>
      <c r="R171" s="201" t="e">
        <f t="shared" ref="R171:R215" si="18">IF(V171&lt;65,"BAJO",IF(V171&lt;=79,"BASICO",IF(V171&lt;=89,"ALTO",IF(V171&lt;=100,"SUPERIOR"))))</f>
        <v>#DIV/0!</v>
      </c>
      <c r="S171" s="202"/>
      <c r="T171" s="202"/>
      <c r="U171" s="203"/>
      <c r="V171" s="14" t="e">
        <f t="shared" ref="V171:V215" si="19">J171+M171+P171</f>
        <v>#DIV/0!</v>
      </c>
      <c r="W171" s="10"/>
      <c r="X171" s="10"/>
    </row>
    <row r="172" spans="1:24" ht="15.75" customHeight="1" x14ac:dyDescent="0.25">
      <c r="A172" s="6">
        <v>3</v>
      </c>
      <c r="B172" s="124" t="s">
        <v>490</v>
      </c>
      <c r="C172" s="8"/>
      <c r="D172" s="8"/>
      <c r="E172" s="8"/>
      <c r="F172" s="8"/>
      <c r="G172" s="8"/>
      <c r="H172" s="8"/>
      <c r="I172" s="9"/>
      <c r="J172" s="15" t="e">
        <f t="shared" si="15"/>
        <v>#DIV/0!</v>
      </c>
      <c r="K172" s="8"/>
      <c r="L172" s="8"/>
      <c r="M172" s="15" t="e">
        <f t="shared" si="16"/>
        <v>#DIV/0!</v>
      </c>
      <c r="N172" s="8"/>
      <c r="O172" s="8"/>
      <c r="P172" s="15" t="e">
        <f t="shared" si="17"/>
        <v>#DIV/0!</v>
      </c>
      <c r="Q172" s="11"/>
      <c r="R172" s="201" t="e">
        <f t="shared" si="18"/>
        <v>#DIV/0!</v>
      </c>
      <c r="S172" s="202"/>
      <c r="T172" s="202"/>
      <c r="U172" s="203"/>
      <c r="V172" s="14" t="e">
        <f t="shared" si="19"/>
        <v>#DIV/0!</v>
      </c>
      <c r="W172" s="10"/>
      <c r="X172" s="10"/>
    </row>
    <row r="173" spans="1:24" ht="15.75" customHeight="1" x14ac:dyDescent="0.25">
      <c r="A173" s="6">
        <v>4</v>
      </c>
      <c r="B173" s="124" t="s">
        <v>491</v>
      </c>
      <c r="C173" s="8"/>
      <c r="D173" s="8"/>
      <c r="E173" s="8"/>
      <c r="F173" s="8"/>
      <c r="G173" s="8"/>
      <c r="H173" s="8"/>
      <c r="I173" s="8"/>
      <c r="J173" s="15" t="e">
        <f t="shared" si="15"/>
        <v>#DIV/0!</v>
      </c>
      <c r="K173" s="8"/>
      <c r="L173" s="8"/>
      <c r="M173" s="15" t="e">
        <f t="shared" si="16"/>
        <v>#DIV/0!</v>
      </c>
      <c r="N173" s="8"/>
      <c r="O173" s="8"/>
      <c r="P173" s="15" t="e">
        <f t="shared" si="17"/>
        <v>#DIV/0!</v>
      </c>
      <c r="Q173" s="11"/>
      <c r="R173" s="201" t="e">
        <f t="shared" si="18"/>
        <v>#DIV/0!</v>
      </c>
      <c r="S173" s="202"/>
      <c r="T173" s="202"/>
      <c r="U173" s="203"/>
      <c r="V173" s="14" t="e">
        <f t="shared" si="19"/>
        <v>#DIV/0!</v>
      </c>
      <c r="W173" s="10"/>
      <c r="X173" s="10"/>
    </row>
    <row r="174" spans="1:24" ht="15.75" customHeight="1" x14ac:dyDescent="0.25">
      <c r="A174" s="6">
        <v>5</v>
      </c>
      <c r="B174" s="124" t="s">
        <v>492</v>
      </c>
      <c r="C174" s="8"/>
      <c r="D174" s="8"/>
      <c r="E174" s="8"/>
      <c r="F174" s="8"/>
      <c r="G174" s="8"/>
      <c r="H174" s="8"/>
      <c r="I174" s="8"/>
      <c r="J174" s="15" t="e">
        <f t="shared" si="15"/>
        <v>#DIV/0!</v>
      </c>
      <c r="K174" s="8"/>
      <c r="L174" s="8"/>
      <c r="M174" s="15" t="e">
        <f t="shared" si="16"/>
        <v>#DIV/0!</v>
      </c>
      <c r="N174" s="8"/>
      <c r="O174" s="8"/>
      <c r="P174" s="15" t="e">
        <f t="shared" si="17"/>
        <v>#DIV/0!</v>
      </c>
      <c r="Q174" s="10"/>
      <c r="R174" s="201" t="e">
        <f t="shared" si="18"/>
        <v>#DIV/0!</v>
      </c>
      <c r="S174" s="202"/>
      <c r="T174" s="202"/>
      <c r="U174" s="203"/>
      <c r="V174" s="14" t="e">
        <f t="shared" si="19"/>
        <v>#DIV/0!</v>
      </c>
      <c r="W174" s="10"/>
      <c r="X174" s="10"/>
    </row>
    <row r="175" spans="1:24" ht="15.75" customHeight="1" x14ac:dyDescent="0.25">
      <c r="A175" s="6">
        <v>6</v>
      </c>
      <c r="B175" s="67" t="s">
        <v>442</v>
      </c>
      <c r="C175" s="8"/>
      <c r="D175" s="8"/>
      <c r="E175" s="8"/>
      <c r="F175" s="8"/>
      <c r="G175" s="8"/>
      <c r="H175" s="8"/>
      <c r="I175" s="8"/>
      <c r="J175" s="15" t="e">
        <f t="shared" si="15"/>
        <v>#DIV/0!</v>
      </c>
      <c r="K175" s="8"/>
      <c r="L175" s="8"/>
      <c r="M175" s="15" t="e">
        <f t="shared" si="16"/>
        <v>#DIV/0!</v>
      </c>
      <c r="N175" s="8"/>
      <c r="O175" s="8"/>
      <c r="P175" s="15" t="e">
        <f t="shared" si="17"/>
        <v>#DIV/0!</v>
      </c>
      <c r="Q175" s="10"/>
      <c r="R175" s="201" t="e">
        <f t="shared" si="18"/>
        <v>#DIV/0!</v>
      </c>
      <c r="S175" s="202"/>
      <c r="T175" s="202"/>
      <c r="U175" s="203"/>
      <c r="V175" s="14" t="e">
        <f t="shared" si="19"/>
        <v>#DIV/0!</v>
      </c>
      <c r="W175" s="10"/>
      <c r="X175" s="10"/>
    </row>
    <row r="176" spans="1:24" ht="15.75" customHeight="1" x14ac:dyDescent="0.25">
      <c r="A176" s="6">
        <v>7</v>
      </c>
      <c r="B176" s="124" t="s">
        <v>493</v>
      </c>
      <c r="C176" s="8"/>
      <c r="D176" s="8"/>
      <c r="E176" s="8"/>
      <c r="F176" s="8"/>
      <c r="G176" s="8"/>
      <c r="H176" s="8"/>
      <c r="I176" s="8"/>
      <c r="J176" s="15" t="e">
        <f t="shared" si="15"/>
        <v>#DIV/0!</v>
      </c>
      <c r="K176" s="8"/>
      <c r="L176" s="8"/>
      <c r="M176" s="15" t="e">
        <f t="shared" si="16"/>
        <v>#DIV/0!</v>
      </c>
      <c r="N176" s="8"/>
      <c r="O176" s="8"/>
      <c r="P176" s="15" t="e">
        <f t="shared" si="17"/>
        <v>#DIV/0!</v>
      </c>
      <c r="Q176" s="10"/>
      <c r="R176" s="201" t="e">
        <f t="shared" si="18"/>
        <v>#DIV/0!</v>
      </c>
      <c r="S176" s="202"/>
      <c r="T176" s="202"/>
      <c r="U176" s="203"/>
      <c r="V176" s="14" t="e">
        <f t="shared" si="19"/>
        <v>#DIV/0!</v>
      </c>
      <c r="W176" s="10"/>
      <c r="X176" s="10"/>
    </row>
    <row r="177" spans="1:24" ht="15.75" customHeight="1" x14ac:dyDescent="0.25">
      <c r="A177" s="6">
        <v>8</v>
      </c>
      <c r="B177" s="124" t="s">
        <v>829</v>
      </c>
      <c r="C177" s="8"/>
      <c r="D177" s="8"/>
      <c r="E177" s="8"/>
      <c r="F177" s="8"/>
      <c r="G177" s="8"/>
      <c r="H177" s="8"/>
      <c r="I177" s="8"/>
      <c r="J177" s="15" t="e">
        <f t="shared" si="15"/>
        <v>#DIV/0!</v>
      </c>
      <c r="K177" s="8"/>
      <c r="L177" s="8"/>
      <c r="M177" s="15" t="e">
        <f t="shared" si="16"/>
        <v>#DIV/0!</v>
      </c>
      <c r="N177" s="8"/>
      <c r="O177" s="8"/>
      <c r="P177" s="15" t="e">
        <f t="shared" si="17"/>
        <v>#DIV/0!</v>
      </c>
      <c r="Q177" s="10"/>
      <c r="R177" s="201" t="e">
        <f t="shared" si="18"/>
        <v>#DIV/0!</v>
      </c>
      <c r="S177" s="202"/>
      <c r="T177" s="202"/>
      <c r="U177" s="203"/>
      <c r="V177" s="14" t="e">
        <f t="shared" si="19"/>
        <v>#DIV/0!</v>
      </c>
      <c r="W177" s="10"/>
      <c r="X177" s="10"/>
    </row>
    <row r="178" spans="1:24" ht="15.75" customHeight="1" x14ac:dyDescent="0.25">
      <c r="A178" s="6">
        <v>9</v>
      </c>
      <c r="B178" s="68" t="s">
        <v>830</v>
      </c>
      <c r="C178" s="8"/>
      <c r="D178" s="8"/>
      <c r="E178" s="8"/>
      <c r="F178" s="8"/>
      <c r="G178" s="8"/>
      <c r="H178" s="8"/>
      <c r="I178" s="8"/>
      <c r="J178" s="15" t="e">
        <f t="shared" si="15"/>
        <v>#DIV/0!</v>
      </c>
      <c r="K178" s="8"/>
      <c r="L178" s="8"/>
      <c r="M178" s="15" t="e">
        <f t="shared" si="16"/>
        <v>#DIV/0!</v>
      </c>
      <c r="N178" s="8"/>
      <c r="O178" s="8"/>
      <c r="P178" s="15" t="e">
        <f t="shared" si="17"/>
        <v>#DIV/0!</v>
      </c>
      <c r="Q178" s="10"/>
      <c r="R178" s="201" t="e">
        <f t="shared" si="18"/>
        <v>#DIV/0!</v>
      </c>
      <c r="S178" s="202"/>
      <c r="T178" s="202"/>
      <c r="U178" s="203"/>
      <c r="V178" s="14" t="e">
        <f t="shared" si="19"/>
        <v>#DIV/0!</v>
      </c>
      <c r="W178" s="10"/>
      <c r="X178" s="10"/>
    </row>
    <row r="179" spans="1:24" ht="15.75" customHeight="1" x14ac:dyDescent="0.25">
      <c r="A179" s="6">
        <v>10</v>
      </c>
      <c r="B179" s="124" t="s">
        <v>494</v>
      </c>
      <c r="C179" s="8"/>
      <c r="D179" s="8"/>
      <c r="E179" s="8"/>
      <c r="F179" s="8"/>
      <c r="G179" s="8"/>
      <c r="H179" s="8"/>
      <c r="I179" s="8"/>
      <c r="J179" s="15" t="e">
        <f t="shared" si="15"/>
        <v>#DIV/0!</v>
      </c>
      <c r="K179" s="8"/>
      <c r="L179" s="8"/>
      <c r="M179" s="15" t="e">
        <f t="shared" si="16"/>
        <v>#DIV/0!</v>
      </c>
      <c r="N179" s="8"/>
      <c r="O179" s="8"/>
      <c r="P179" s="15" t="e">
        <f t="shared" si="17"/>
        <v>#DIV/0!</v>
      </c>
      <c r="Q179" s="10"/>
      <c r="R179" s="201" t="e">
        <f t="shared" si="18"/>
        <v>#DIV/0!</v>
      </c>
      <c r="S179" s="202"/>
      <c r="T179" s="202"/>
      <c r="U179" s="203"/>
      <c r="V179" s="14" t="e">
        <f t="shared" si="19"/>
        <v>#DIV/0!</v>
      </c>
      <c r="W179" s="10"/>
      <c r="X179" s="10"/>
    </row>
    <row r="180" spans="1:24" ht="15.75" customHeight="1" x14ac:dyDescent="0.25">
      <c r="A180" s="6">
        <v>11</v>
      </c>
      <c r="B180" s="124" t="s">
        <v>495</v>
      </c>
      <c r="C180" s="8"/>
      <c r="D180" s="8"/>
      <c r="E180" s="8"/>
      <c r="F180" s="8"/>
      <c r="G180" s="8"/>
      <c r="H180" s="8"/>
      <c r="I180" s="8"/>
      <c r="J180" s="15" t="e">
        <f t="shared" si="15"/>
        <v>#DIV/0!</v>
      </c>
      <c r="K180" s="8"/>
      <c r="L180" s="8"/>
      <c r="M180" s="15" t="e">
        <f t="shared" si="16"/>
        <v>#DIV/0!</v>
      </c>
      <c r="N180" s="8"/>
      <c r="O180" s="8"/>
      <c r="P180" s="15" t="e">
        <f t="shared" si="17"/>
        <v>#DIV/0!</v>
      </c>
      <c r="Q180" s="10"/>
      <c r="R180" s="201" t="e">
        <f t="shared" si="18"/>
        <v>#DIV/0!</v>
      </c>
      <c r="S180" s="202"/>
      <c r="T180" s="202"/>
      <c r="U180" s="203"/>
      <c r="V180" s="14" t="e">
        <f t="shared" si="19"/>
        <v>#DIV/0!</v>
      </c>
      <c r="W180" s="10"/>
      <c r="X180" s="10"/>
    </row>
    <row r="181" spans="1:24" ht="15.75" customHeight="1" x14ac:dyDescent="0.25">
      <c r="A181" s="6">
        <v>12</v>
      </c>
      <c r="B181" s="124" t="s">
        <v>496</v>
      </c>
      <c r="C181" s="8"/>
      <c r="D181" s="8"/>
      <c r="E181" s="8"/>
      <c r="F181" s="8"/>
      <c r="G181" s="8"/>
      <c r="H181" s="8"/>
      <c r="I181" s="8"/>
      <c r="J181" s="15" t="e">
        <f t="shared" si="15"/>
        <v>#DIV/0!</v>
      </c>
      <c r="K181" s="8"/>
      <c r="L181" s="8"/>
      <c r="M181" s="15" t="e">
        <f t="shared" si="16"/>
        <v>#DIV/0!</v>
      </c>
      <c r="N181" s="8"/>
      <c r="O181" s="8"/>
      <c r="P181" s="15" t="e">
        <f t="shared" si="17"/>
        <v>#DIV/0!</v>
      </c>
      <c r="Q181" s="10"/>
      <c r="R181" s="201" t="e">
        <f t="shared" si="18"/>
        <v>#DIV/0!</v>
      </c>
      <c r="S181" s="202"/>
      <c r="T181" s="202"/>
      <c r="U181" s="203"/>
      <c r="V181" s="14" t="e">
        <f t="shared" si="19"/>
        <v>#DIV/0!</v>
      </c>
      <c r="W181" s="10"/>
      <c r="X181" s="10"/>
    </row>
    <row r="182" spans="1:24" ht="15.75" customHeight="1" x14ac:dyDescent="0.25">
      <c r="A182" s="6">
        <v>13</v>
      </c>
      <c r="B182" s="124" t="s">
        <v>497</v>
      </c>
      <c r="C182" s="8"/>
      <c r="D182" s="8"/>
      <c r="E182" s="8"/>
      <c r="F182" s="8"/>
      <c r="G182" s="8"/>
      <c r="H182" s="8"/>
      <c r="I182" s="8"/>
      <c r="J182" s="15" t="e">
        <f t="shared" si="15"/>
        <v>#DIV/0!</v>
      </c>
      <c r="K182" s="8"/>
      <c r="L182" s="8"/>
      <c r="M182" s="15" t="e">
        <f t="shared" si="16"/>
        <v>#DIV/0!</v>
      </c>
      <c r="N182" s="8"/>
      <c r="O182" s="8"/>
      <c r="P182" s="15" t="e">
        <f t="shared" si="17"/>
        <v>#DIV/0!</v>
      </c>
      <c r="Q182" s="10"/>
      <c r="R182" s="201" t="e">
        <f t="shared" si="18"/>
        <v>#DIV/0!</v>
      </c>
      <c r="S182" s="202"/>
      <c r="T182" s="202"/>
      <c r="U182" s="203"/>
      <c r="V182" s="14" t="e">
        <f t="shared" si="19"/>
        <v>#DIV/0!</v>
      </c>
      <c r="W182" s="10"/>
      <c r="X182" s="10"/>
    </row>
    <row r="183" spans="1:24" ht="15.75" customHeight="1" x14ac:dyDescent="0.25">
      <c r="A183" s="6">
        <v>14</v>
      </c>
      <c r="B183" s="124" t="s">
        <v>498</v>
      </c>
      <c r="C183" s="8"/>
      <c r="D183" s="8"/>
      <c r="E183" s="8"/>
      <c r="F183" s="8"/>
      <c r="G183" s="8"/>
      <c r="H183" s="8"/>
      <c r="I183" s="8"/>
      <c r="J183" s="15" t="e">
        <f t="shared" si="15"/>
        <v>#DIV/0!</v>
      </c>
      <c r="K183" s="8"/>
      <c r="L183" s="8"/>
      <c r="M183" s="15" t="e">
        <f t="shared" si="16"/>
        <v>#DIV/0!</v>
      </c>
      <c r="N183" s="8"/>
      <c r="O183" s="8"/>
      <c r="P183" s="15" t="e">
        <f t="shared" si="17"/>
        <v>#DIV/0!</v>
      </c>
      <c r="Q183" s="10"/>
      <c r="R183" s="201" t="e">
        <f t="shared" si="18"/>
        <v>#DIV/0!</v>
      </c>
      <c r="S183" s="202"/>
      <c r="T183" s="202"/>
      <c r="U183" s="203"/>
      <c r="V183" s="14" t="e">
        <f t="shared" si="19"/>
        <v>#DIV/0!</v>
      </c>
      <c r="W183" s="10"/>
      <c r="X183" s="10"/>
    </row>
    <row r="184" spans="1:24" ht="15.75" customHeight="1" x14ac:dyDescent="0.25">
      <c r="A184" s="6">
        <v>15</v>
      </c>
      <c r="B184" s="67" t="s">
        <v>469</v>
      </c>
      <c r="C184" s="8"/>
      <c r="D184" s="8"/>
      <c r="E184" s="8"/>
      <c r="F184" s="8"/>
      <c r="G184" s="8"/>
      <c r="H184" s="8"/>
      <c r="I184" s="8"/>
      <c r="J184" s="15" t="e">
        <f t="shared" si="15"/>
        <v>#DIV/0!</v>
      </c>
      <c r="K184" s="8"/>
      <c r="L184" s="8"/>
      <c r="M184" s="15" t="e">
        <f t="shared" si="16"/>
        <v>#DIV/0!</v>
      </c>
      <c r="N184" s="8"/>
      <c r="O184" s="8"/>
      <c r="P184" s="15" t="e">
        <f t="shared" si="17"/>
        <v>#DIV/0!</v>
      </c>
      <c r="Q184" s="10"/>
      <c r="R184" s="201" t="e">
        <f t="shared" si="18"/>
        <v>#DIV/0!</v>
      </c>
      <c r="S184" s="202"/>
      <c r="T184" s="202"/>
      <c r="U184" s="203"/>
      <c r="V184" s="14" t="e">
        <f t="shared" si="19"/>
        <v>#DIV/0!</v>
      </c>
      <c r="W184" s="10"/>
      <c r="X184" s="10"/>
    </row>
    <row r="185" spans="1:24" ht="15.75" customHeight="1" x14ac:dyDescent="0.25">
      <c r="A185" s="6">
        <v>16</v>
      </c>
      <c r="B185" s="124" t="s">
        <v>500</v>
      </c>
      <c r="C185" s="8"/>
      <c r="D185" s="8"/>
      <c r="E185" s="8"/>
      <c r="F185" s="8"/>
      <c r="G185" s="8"/>
      <c r="H185" s="8"/>
      <c r="I185" s="8"/>
      <c r="J185" s="15" t="e">
        <f t="shared" si="15"/>
        <v>#DIV/0!</v>
      </c>
      <c r="K185" s="8"/>
      <c r="L185" s="8"/>
      <c r="M185" s="15" t="e">
        <f t="shared" si="16"/>
        <v>#DIV/0!</v>
      </c>
      <c r="N185" s="8"/>
      <c r="O185" s="8"/>
      <c r="P185" s="15" t="e">
        <f t="shared" si="17"/>
        <v>#DIV/0!</v>
      </c>
      <c r="Q185" s="10"/>
      <c r="R185" s="201" t="e">
        <f t="shared" si="18"/>
        <v>#DIV/0!</v>
      </c>
      <c r="S185" s="202"/>
      <c r="T185" s="202"/>
      <c r="U185" s="203"/>
      <c r="V185" s="14" t="e">
        <f t="shared" si="19"/>
        <v>#DIV/0!</v>
      </c>
      <c r="W185" s="10"/>
      <c r="X185" s="10"/>
    </row>
    <row r="186" spans="1:24" ht="15.75" customHeight="1" x14ac:dyDescent="0.25">
      <c r="A186" s="6">
        <v>17</v>
      </c>
      <c r="B186" s="124" t="s">
        <v>501</v>
      </c>
      <c r="C186" s="8"/>
      <c r="D186" s="8"/>
      <c r="E186" s="8"/>
      <c r="F186" s="8"/>
      <c r="G186" s="8"/>
      <c r="H186" s="8"/>
      <c r="I186" s="13"/>
      <c r="J186" s="15" t="e">
        <f t="shared" si="15"/>
        <v>#DIV/0!</v>
      </c>
      <c r="K186" s="8"/>
      <c r="L186" s="8"/>
      <c r="M186" s="15" t="e">
        <f t="shared" si="16"/>
        <v>#DIV/0!</v>
      </c>
      <c r="N186" s="8"/>
      <c r="O186" s="8"/>
      <c r="P186" s="15" t="e">
        <f t="shared" si="17"/>
        <v>#DIV/0!</v>
      </c>
      <c r="Q186" s="10"/>
      <c r="R186" s="201" t="e">
        <f t="shared" si="18"/>
        <v>#DIV/0!</v>
      </c>
      <c r="S186" s="202"/>
      <c r="T186" s="202"/>
      <c r="U186" s="203"/>
      <c r="V186" s="14" t="e">
        <f t="shared" si="19"/>
        <v>#DIV/0!</v>
      </c>
      <c r="W186" s="10"/>
      <c r="X186" s="10"/>
    </row>
    <row r="187" spans="1:24" ht="15.75" customHeight="1" x14ac:dyDescent="0.25">
      <c r="A187" s="6">
        <v>18</v>
      </c>
      <c r="B187" s="124" t="s">
        <v>553</v>
      </c>
      <c r="C187" s="8"/>
      <c r="D187" s="8"/>
      <c r="E187" s="8"/>
      <c r="F187" s="8"/>
      <c r="G187" s="8"/>
      <c r="H187" s="8"/>
      <c r="I187" s="8"/>
      <c r="J187" s="15" t="e">
        <f t="shared" si="15"/>
        <v>#DIV/0!</v>
      </c>
      <c r="K187" s="8"/>
      <c r="L187" s="8"/>
      <c r="M187" s="15" t="e">
        <f t="shared" si="16"/>
        <v>#DIV/0!</v>
      </c>
      <c r="N187" s="8"/>
      <c r="O187" s="8"/>
      <c r="P187" s="15" t="e">
        <f t="shared" si="17"/>
        <v>#DIV/0!</v>
      </c>
      <c r="Q187" s="10"/>
      <c r="R187" s="201" t="e">
        <f t="shared" si="18"/>
        <v>#DIV/0!</v>
      </c>
      <c r="S187" s="202"/>
      <c r="T187" s="202"/>
      <c r="U187" s="203"/>
      <c r="V187" s="14" t="e">
        <f t="shared" si="19"/>
        <v>#DIV/0!</v>
      </c>
      <c r="W187" s="10"/>
      <c r="X187" s="10"/>
    </row>
    <row r="188" spans="1:24" ht="15.75" customHeight="1" x14ac:dyDescent="0.25">
      <c r="A188" s="6">
        <v>19</v>
      </c>
      <c r="B188" s="124" t="s">
        <v>502</v>
      </c>
      <c r="C188" s="8"/>
      <c r="D188" s="8"/>
      <c r="E188" s="8"/>
      <c r="F188" s="8"/>
      <c r="G188" s="8"/>
      <c r="H188" s="8"/>
      <c r="I188" s="8"/>
      <c r="J188" s="15" t="e">
        <f t="shared" si="15"/>
        <v>#DIV/0!</v>
      </c>
      <c r="K188" s="8"/>
      <c r="L188" s="8"/>
      <c r="M188" s="15" t="e">
        <f t="shared" si="16"/>
        <v>#DIV/0!</v>
      </c>
      <c r="N188" s="8"/>
      <c r="O188" s="8"/>
      <c r="P188" s="15" t="e">
        <f t="shared" si="17"/>
        <v>#DIV/0!</v>
      </c>
      <c r="Q188" s="10"/>
      <c r="R188" s="201" t="e">
        <f t="shared" si="18"/>
        <v>#DIV/0!</v>
      </c>
      <c r="S188" s="202"/>
      <c r="T188" s="202"/>
      <c r="U188" s="203"/>
      <c r="V188" s="14" t="e">
        <f t="shared" si="19"/>
        <v>#DIV/0!</v>
      </c>
      <c r="W188" s="10"/>
      <c r="X188" s="10"/>
    </row>
    <row r="189" spans="1:24" ht="15.75" customHeight="1" x14ac:dyDescent="0.25">
      <c r="A189" s="6">
        <v>20</v>
      </c>
      <c r="B189" s="124" t="s">
        <v>503</v>
      </c>
      <c r="C189" s="8"/>
      <c r="D189" s="8"/>
      <c r="E189" s="8"/>
      <c r="F189" s="8"/>
      <c r="G189" s="8"/>
      <c r="H189" s="8"/>
      <c r="I189" s="8"/>
      <c r="J189" s="15" t="e">
        <f t="shared" si="15"/>
        <v>#DIV/0!</v>
      </c>
      <c r="K189" s="8"/>
      <c r="L189" s="8"/>
      <c r="M189" s="15" t="e">
        <f t="shared" si="16"/>
        <v>#DIV/0!</v>
      </c>
      <c r="N189" s="8"/>
      <c r="O189" s="8"/>
      <c r="P189" s="15" t="e">
        <f t="shared" si="17"/>
        <v>#DIV/0!</v>
      </c>
      <c r="Q189" s="10"/>
      <c r="R189" s="201" t="e">
        <f t="shared" si="18"/>
        <v>#DIV/0!</v>
      </c>
      <c r="S189" s="202"/>
      <c r="T189" s="202"/>
      <c r="U189" s="203"/>
      <c r="V189" s="14" t="e">
        <f t="shared" si="19"/>
        <v>#DIV/0!</v>
      </c>
      <c r="W189" s="10"/>
      <c r="X189" s="10"/>
    </row>
    <row r="190" spans="1:24" ht="15.75" customHeight="1" x14ac:dyDescent="0.25">
      <c r="A190" s="6">
        <v>21</v>
      </c>
      <c r="B190" s="124" t="s">
        <v>504</v>
      </c>
      <c r="C190" s="8"/>
      <c r="D190" s="8"/>
      <c r="E190" s="8"/>
      <c r="F190" s="8"/>
      <c r="G190" s="8"/>
      <c r="H190" s="8"/>
      <c r="I190" s="8"/>
      <c r="J190" s="15" t="e">
        <f t="shared" si="15"/>
        <v>#DIV/0!</v>
      </c>
      <c r="K190" s="8"/>
      <c r="L190" s="8"/>
      <c r="M190" s="15" t="e">
        <f t="shared" si="16"/>
        <v>#DIV/0!</v>
      </c>
      <c r="N190" s="8"/>
      <c r="O190" s="8"/>
      <c r="P190" s="15" t="e">
        <f t="shared" si="17"/>
        <v>#DIV/0!</v>
      </c>
      <c r="Q190" s="10"/>
      <c r="R190" s="201" t="e">
        <f t="shared" si="18"/>
        <v>#DIV/0!</v>
      </c>
      <c r="S190" s="202"/>
      <c r="T190" s="202"/>
      <c r="U190" s="203"/>
      <c r="V190" s="14" t="e">
        <f t="shared" si="19"/>
        <v>#DIV/0!</v>
      </c>
      <c r="W190" s="10"/>
      <c r="X190" s="10"/>
    </row>
    <row r="191" spans="1:24" ht="15.75" customHeight="1" x14ac:dyDescent="0.25">
      <c r="A191" s="6">
        <v>22</v>
      </c>
      <c r="B191" s="124" t="s">
        <v>831</v>
      </c>
      <c r="C191" s="8"/>
      <c r="D191" s="8"/>
      <c r="E191" s="8"/>
      <c r="F191" s="8"/>
      <c r="G191" s="8"/>
      <c r="H191" s="8"/>
      <c r="I191" s="8"/>
      <c r="J191" s="15" t="e">
        <f t="shared" si="15"/>
        <v>#DIV/0!</v>
      </c>
      <c r="K191" s="8"/>
      <c r="L191" s="8"/>
      <c r="M191" s="15" t="e">
        <f t="shared" si="16"/>
        <v>#DIV/0!</v>
      </c>
      <c r="N191" s="8"/>
      <c r="O191" s="8"/>
      <c r="P191" s="15" t="e">
        <f t="shared" si="17"/>
        <v>#DIV/0!</v>
      </c>
      <c r="Q191" s="10"/>
      <c r="R191" s="201" t="e">
        <f t="shared" si="18"/>
        <v>#DIV/0!</v>
      </c>
      <c r="S191" s="202"/>
      <c r="T191" s="202"/>
      <c r="U191" s="203"/>
      <c r="V191" s="14" t="e">
        <f t="shared" si="19"/>
        <v>#DIV/0!</v>
      </c>
      <c r="W191" s="10"/>
      <c r="X191" s="10"/>
    </row>
    <row r="192" spans="1:24" ht="15.75" customHeight="1" x14ac:dyDescent="0.25">
      <c r="A192" s="6">
        <v>23</v>
      </c>
      <c r="B192" s="116" t="s">
        <v>914</v>
      </c>
      <c r="C192" s="8"/>
      <c r="D192" s="8"/>
      <c r="E192" s="8"/>
      <c r="F192" s="8"/>
      <c r="G192" s="8"/>
      <c r="H192" s="8"/>
      <c r="I192" s="8"/>
      <c r="J192" s="15" t="e">
        <f t="shared" si="15"/>
        <v>#DIV/0!</v>
      </c>
      <c r="K192" s="8"/>
      <c r="L192" s="8"/>
      <c r="M192" s="15" t="e">
        <f t="shared" si="16"/>
        <v>#DIV/0!</v>
      </c>
      <c r="N192" s="8"/>
      <c r="O192" s="8"/>
      <c r="P192" s="15" t="e">
        <f t="shared" si="17"/>
        <v>#DIV/0!</v>
      </c>
      <c r="Q192" s="10"/>
      <c r="R192" s="201" t="e">
        <f t="shared" si="18"/>
        <v>#DIV/0!</v>
      </c>
      <c r="S192" s="202"/>
      <c r="T192" s="202"/>
      <c r="U192" s="203"/>
      <c r="V192" s="14" t="e">
        <f t="shared" si="19"/>
        <v>#DIV/0!</v>
      </c>
      <c r="W192" s="10"/>
      <c r="X192" s="10"/>
    </row>
    <row r="193" spans="1:24" ht="15.75" customHeight="1" x14ac:dyDescent="0.25">
      <c r="A193" s="6">
        <v>24</v>
      </c>
      <c r="B193" s="124" t="s">
        <v>505</v>
      </c>
      <c r="C193" s="8"/>
      <c r="D193" s="8"/>
      <c r="E193" s="8"/>
      <c r="F193" s="8"/>
      <c r="G193" s="8"/>
      <c r="H193" s="8"/>
      <c r="I193" s="8"/>
      <c r="J193" s="15" t="e">
        <f t="shared" si="15"/>
        <v>#DIV/0!</v>
      </c>
      <c r="K193" s="8"/>
      <c r="L193" s="8"/>
      <c r="M193" s="15" t="e">
        <f t="shared" si="16"/>
        <v>#DIV/0!</v>
      </c>
      <c r="N193" s="8"/>
      <c r="O193" s="8"/>
      <c r="P193" s="15" t="e">
        <f t="shared" si="17"/>
        <v>#DIV/0!</v>
      </c>
      <c r="Q193" s="10"/>
      <c r="R193" s="201" t="e">
        <f t="shared" si="18"/>
        <v>#DIV/0!</v>
      </c>
      <c r="S193" s="202"/>
      <c r="T193" s="202"/>
      <c r="U193" s="203"/>
      <c r="V193" s="14" t="e">
        <f t="shared" si="19"/>
        <v>#DIV/0!</v>
      </c>
      <c r="W193" s="10"/>
      <c r="X193" s="10"/>
    </row>
    <row r="194" spans="1:24" ht="15.75" customHeight="1" x14ac:dyDescent="0.25">
      <c r="A194" s="6">
        <v>25</v>
      </c>
      <c r="B194" s="124" t="s">
        <v>506</v>
      </c>
      <c r="C194" s="8"/>
      <c r="D194" s="8"/>
      <c r="E194" s="8"/>
      <c r="F194" s="8"/>
      <c r="G194" s="8"/>
      <c r="H194" s="8"/>
      <c r="I194" s="8"/>
      <c r="J194" s="15" t="e">
        <f t="shared" si="15"/>
        <v>#DIV/0!</v>
      </c>
      <c r="K194" s="8"/>
      <c r="L194" s="8"/>
      <c r="M194" s="15" t="e">
        <f t="shared" si="16"/>
        <v>#DIV/0!</v>
      </c>
      <c r="N194" s="8"/>
      <c r="O194" s="8"/>
      <c r="P194" s="15" t="e">
        <f t="shared" si="17"/>
        <v>#DIV/0!</v>
      </c>
      <c r="Q194" s="10"/>
      <c r="R194" s="201" t="e">
        <f t="shared" si="18"/>
        <v>#DIV/0!</v>
      </c>
      <c r="S194" s="202"/>
      <c r="T194" s="202"/>
      <c r="U194" s="203"/>
      <c r="V194" s="14" t="e">
        <f t="shared" si="19"/>
        <v>#DIV/0!</v>
      </c>
      <c r="W194" s="10"/>
      <c r="X194" s="10"/>
    </row>
    <row r="195" spans="1:24" ht="15.75" customHeight="1" x14ac:dyDescent="0.25">
      <c r="A195" s="6">
        <v>26</v>
      </c>
      <c r="B195" s="124" t="s">
        <v>507</v>
      </c>
      <c r="C195" s="8"/>
      <c r="D195" s="8"/>
      <c r="E195" s="8"/>
      <c r="F195" s="8"/>
      <c r="G195" s="8"/>
      <c r="H195" s="8"/>
      <c r="I195" s="8"/>
      <c r="J195" s="15" t="e">
        <f t="shared" si="15"/>
        <v>#DIV/0!</v>
      </c>
      <c r="K195" s="8"/>
      <c r="L195" s="8"/>
      <c r="M195" s="15" t="e">
        <f t="shared" si="16"/>
        <v>#DIV/0!</v>
      </c>
      <c r="N195" s="8"/>
      <c r="O195" s="8"/>
      <c r="P195" s="15" t="e">
        <f t="shared" si="17"/>
        <v>#DIV/0!</v>
      </c>
      <c r="Q195" s="10"/>
      <c r="R195" s="201" t="e">
        <f t="shared" si="18"/>
        <v>#DIV/0!</v>
      </c>
      <c r="S195" s="202"/>
      <c r="T195" s="202"/>
      <c r="U195" s="203"/>
      <c r="V195" s="14" t="e">
        <f t="shared" si="19"/>
        <v>#DIV/0!</v>
      </c>
      <c r="W195" s="10"/>
      <c r="X195" s="10"/>
    </row>
    <row r="196" spans="1:24" ht="15.75" customHeight="1" x14ac:dyDescent="0.25">
      <c r="A196" s="6">
        <v>27</v>
      </c>
      <c r="B196" s="124" t="s">
        <v>509</v>
      </c>
      <c r="C196" s="8"/>
      <c r="D196" s="8"/>
      <c r="E196" s="8"/>
      <c r="F196" s="8"/>
      <c r="G196" s="8"/>
      <c r="H196" s="8"/>
      <c r="I196" s="8"/>
      <c r="J196" s="15" t="e">
        <f t="shared" si="15"/>
        <v>#DIV/0!</v>
      </c>
      <c r="K196" s="8"/>
      <c r="L196" s="8"/>
      <c r="M196" s="15" t="e">
        <f t="shared" si="16"/>
        <v>#DIV/0!</v>
      </c>
      <c r="N196" s="8"/>
      <c r="O196" s="8"/>
      <c r="P196" s="15" t="e">
        <f t="shared" si="17"/>
        <v>#DIV/0!</v>
      </c>
      <c r="Q196" s="10"/>
      <c r="R196" s="201" t="e">
        <f t="shared" si="18"/>
        <v>#DIV/0!</v>
      </c>
      <c r="S196" s="202"/>
      <c r="T196" s="202"/>
      <c r="U196" s="203"/>
      <c r="V196" s="14" t="e">
        <f t="shared" si="19"/>
        <v>#DIV/0!</v>
      </c>
      <c r="W196" s="10"/>
      <c r="X196" s="10"/>
    </row>
    <row r="197" spans="1:24" ht="15.75" customHeight="1" x14ac:dyDescent="0.25">
      <c r="A197" s="6">
        <v>28</v>
      </c>
      <c r="B197" s="124" t="s">
        <v>510</v>
      </c>
      <c r="C197" s="8"/>
      <c r="D197" s="8"/>
      <c r="E197" s="8"/>
      <c r="F197" s="8"/>
      <c r="G197" s="8"/>
      <c r="H197" s="8"/>
      <c r="I197" s="8"/>
      <c r="J197" s="15" t="e">
        <f t="shared" si="15"/>
        <v>#DIV/0!</v>
      </c>
      <c r="K197" s="8"/>
      <c r="L197" s="8"/>
      <c r="M197" s="15" t="e">
        <f t="shared" si="16"/>
        <v>#DIV/0!</v>
      </c>
      <c r="N197" s="8"/>
      <c r="O197" s="8"/>
      <c r="P197" s="15" t="e">
        <f t="shared" si="17"/>
        <v>#DIV/0!</v>
      </c>
      <c r="Q197" s="10"/>
      <c r="R197" s="201" t="e">
        <f t="shared" si="18"/>
        <v>#DIV/0!</v>
      </c>
      <c r="S197" s="202"/>
      <c r="T197" s="202"/>
      <c r="U197" s="203"/>
      <c r="V197" s="14" t="e">
        <f t="shared" si="19"/>
        <v>#DIV/0!</v>
      </c>
      <c r="W197" s="10"/>
      <c r="X197" s="10"/>
    </row>
    <row r="198" spans="1:24" ht="15.75" customHeight="1" x14ac:dyDescent="0.25">
      <c r="A198" s="6">
        <v>29</v>
      </c>
      <c r="B198" s="124" t="s">
        <v>511</v>
      </c>
      <c r="C198" s="8"/>
      <c r="D198" s="8"/>
      <c r="E198" s="8"/>
      <c r="F198" s="8"/>
      <c r="G198" s="8"/>
      <c r="H198" s="8"/>
      <c r="I198" s="8"/>
      <c r="J198" s="15" t="e">
        <f t="shared" si="15"/>
        <v>#DIV/0!</v>
      </c>
      <c r="K198" s="8"/>
      <c r="L198" s="8"/>
      <c r="M198" s="15" t="e">
        <f t="shared" si="16"/>
        <v>#DIV/0!</v>
      </c>
      <c r="N198" s="8"/>
      <c r="O198" s="8"/>
      <c r="P198" s="15" t="e">
        <f t="shared" si="17"/>
        <v>#DIV/0!</v>
      </c>
      <c r="Q198" s="10"/>
      <c r="R198" s="201" t="e">
        <f t="shared" si="18"/>
        <v>#DIV/0!</v>
      </c>
      <c r="S198" s="202"/>
      <c r="T198" s="202"/>
      <c r="U198" s="203"/>
      <c r="V198" s="14" t="e">
        <f t="shared" si="19"/>
        <v>#DIV/0!</v>
      </c>
      <c r="W198" s="10"/>
      <c r="X198" s="10"/>
    </row>
    <row r="199" spans="1:24" ht="15.75" customHeight="1" x14ac:dyDescent="0.25">
      <c r="A199" s="6">
        <v>30</v>
      </c>
      <c r="B199" s="163" t="s">
        <v>512</v>
      </c>
      <c r="C199" s="8"/>
      <c r="D199" s="8"/>
      <c r="E199" s="8"/>
      <c r="F199" s="8"/>
      <c r="G199" s="8"/>
      <c r="H199" s="8"/>
      <c r="I199" s="8"/>
      <c r="J199" s="15" t="e">
        <f t="shared" si="15"/>
        <v>#DIV/0!</v>
      </c>
      <c r="K199" s="8"/>
      <c r="L199" s="8"/>
      <c r="M199" s="15" t="e">
        <f t="shared" si="16"/>
        <v>#DIV/0!</v>
      </c>
      <c r="N199" s="8"/>
      <c r="O199" s="8"/>
      <c r="P199" s="15" t="e">
        <f t="shared" si="17"/>
        <v>#DIV/0!</v>
      </c>
      <c r="Q199" s="10"/>
      <c r="R199" s="201" t="e">
        <f t="shared" si="18"/>
        <v>#DIV/0!</v>
      </c>
      <c r="S199" s="202"/>
      <c r="T199" s="202"/>
      <c r="U199" s="203"/>
      <c r="V199" s="14" t="e">
        <f t="shared" si="19"/>
        <v>#DIV/0!</v>
      </c>
      <c r="W199" s="10"/>
      <c r="X199" s="10"/>
    </row>
    <row r="200" spans="1:24" ht="15.75" customHeight="1" x14ac:dyDescent="0.25">
      <c r="A200" s="6">
        <v>31</v>
      </c>
      <c r="B200" s="124" t="s">
        <v>513</v>
      </c>
      <c r="C200" s="8"/>
      <c r="D200" s="8"/>
      <c r="E200" s="8"/>
      <c r="F200" s="8"/>
      <c r="G200" s="8"/>
      <c r="H200" s="8"/>
      <c r="I200" s="8"/>
      <c r="J200" s="15" t="e">
        <f t="shared" si="15"/>
        <v>#DIV/0!</v>
      </c>
      <c r="K200" s="8"/>
      <c r="L200" s="8"/>
      <c r="M200" s="15" t="e">
        <f t="shared" si="16"/>
        <v>#DIV/0!</v>
      </c>
      <c r="N200" s="8"/>
      <c r="O200" s="8"/>
      <c r="P200" s="15" t="e">
        <f t="shared" si="17"/>
        <v>#DIV/0!</v>
      </c>
      <c r="Q200" s="10"/>
      <c r="R200" s="201" t="e">
        <f t="shared" si="18"/>
        <v>#DIV/0!</v>
      </c>
      <c r="S200" s="202"/>
      <c r="T200" s="202"/>
      <c r="U200" s="203"/>
      <c r="V200" s="14" t="e">
        <f t="shared" si="19"/>
        <v>#DIV/0!</v>
      </c>
      <c r="W200" s="10"/>
      <c r="X200" s="10"/>
    </row>
    <row r="201" spans="1:24" ht="15.75" customHeight="1" x14ac:dyDescent="0.25">
      <c r="A201" s="6">
        <v>32</v>
      </c>
      <c r="B201" s="163" t="s">
        <v>514</v>
      </c>
      <c r="C201" s="8"/>
      <c r="D201" s="8"/>
      <c r="E201" s="8"/>
      <c r="F201" s="8"/>
      <c r="G201" s="8"/>
      <c r="H201" s="8"/>
      <c r="I201" s="8"/>
      <c r="J201" s="15" t="e">
        <f t="shared" si="15"/>
        <v>#DIV/0!</v>
      </c>
      <c r="K201" s="8"/>
      <c r="L201" s="8"/>
      <c r="M201" s="15" t="e">
        <f t="shared" si="16"/>
        <v>#DIV/0!</v>
      </c>
      <c r="N201" s="8"/>
      <c r="O201" s="8"/>
      <c r="P201" s="15" t="e">
        <f t="shared" si="17"/>
        <v>#DIV/0!</v>
      </c>
      <c r="Q201" s="10"/>
      <c r="R201" s="201" t="e">
        <f t="shared" si="18"/>
        <v>#DIV/0!</v>
      </c>
      <c r="S201" s="202"/>
      <c r="T201" s="202"/>
      <c r="U201" s="203"/>
      <c r="V201" s="14" t="e">
        <f t="shared" si="19"/>
        <v>#DIV/0!</v>
      </c>
      <c r="W201" s="10"/>
      <c r="X201" s="10"/>
    </row>
    <row r="202" spans="1:24" ht="15.75" customHeight="1" x14ac:dyDescent="0.25">
      <c r="A202" s="6">
        <v>33</v>
      </c>
      <c r="B202" s="116" t="s">
        <v>540</v>
      </c>
      <c r="C202" s="8"/>
      <c r="D202" s="8"/>
      <c r="E202" s="8"/>
      <c r="F202" s="8"/>
      <c r="G202" s="8"/>
      <c r="H202" s="8"/>
      <c r="I202" s="8"/>
      <c r="J202" s="15" t="e">
        <f t="shared" si="15"/>
        <v>#DIV/0!</v>
      </c>
      <c r="K202" s="8"/>
      <c r="L202" s="8"/>
      <c r="M202" s="15" t="e">
        <f t="shared" si="16"/>
        <v>#DIV/0!</v>
      </c>
      <c r="N202" s="8"/>
      <c r="O202" s="8"/>
      <c r="P202" s="15" t="e">
        <f t="shared" si="17"/>
        <v>#DIV/0!</v>
      </c>
      <c r="Q202" s="10"/>
      <c r="R202" s="201" t="e">
        <f t="shared" si="18"/>
        <v>#DIV/0!</v>
      </c>
      <c r="S202" s="202"/>
      <c r="T202" s="202"/>
      <c r="U202" s="203"/>
      <c r="V202" s="14" t="e">
        <f t="shared" si="19"/>
        <v>#DIV/0!</v>
      </c>
      <c r="W202" s="10"/>
      <c r="X202" s="10"/>
    </row>
    <row r="203" spans="1:24" ht="15.75" customHeight="1" x14ac:dyDescent="0.25">
      <c r="A203" s="6">
        <v>34</v>
      </c>
      <c r="B203" s="116"/>
      <c r="C203" s="8"/>
      <c r="D203" s="8"/>
      <c r="E203" s="8"/>
      <c r="F203" s="8"/>
      <c r="G203" s="8"/>
      <c r="H203" s="8"/>
      <c r="I203" s="8"/>
      <c r="J203" s="15" t="e">
        <f t="shared" si="15"/>
        <v>#DIV/0!</v>
      </c>
      <c r="K203" s="8"/>
      <c r="L203" s="8"/>
      <c r="M203" s="15" t="e">
        <f t="shared" si="16"/>
        <v>#DIV/0!</v>
      </c>
      <c r="N203" s="8"/>
      <c r="O203" s="8"/>
      <c r="P203" s="15" t="e">
        <f t="shared" si="17"/>
        <v>#DIV/0!</v>
      </c>
      <c r="Q203" s="10"/>
      <c r="R203" s="201" t="e">
        <f t="shared" si="18"/>
        <v>#DIV/0!</v>
      </c>
      <c r="S203" s="202"/>
      <c r="T203" s="202"/>
      <c r="U203" s="203"/>
      <c r="V203" s="14" t="e">
        <f t="shared" si="19"/>
        <v>#DIV/0!</v>
      </c>
      <c r="W203" s="10"/>
      <c r="X203" s="10"/>
    </row>
    <row r="204" spans="1:24" ht="15.75" customHeight="1" x14ac:dyDescent="0.25">
      <c r="A204" s="6">
        <v>35</v>
      </c>
      <c r="B204" s="116"/>
      <c r="C204" s="8"/>
      <c r="D204" s="8"/>
      <c r="E204" s="8"/>
      <c r="F204" s="8"/>
      <c r="G204" s="8"/>
      <c r="H204" s="8"/>
      <c r="I204" s="8"/>
      <c r="J204" s="15" t="e">
        <f t="shared" si="15"/>
        <v>#DIV/0!</v>
      </c>
      <c r="K204" s="8"/>
      <c r="L204" s="8"/>
      <c r="M204" s="15" t="e">
        <f t="shared" si="16"/>
        <v>#DIV/0!</v>
      </c>
      <c r="N204" s="8"/>
      <c r="O204" s="8"/>
      <c r="P204" s="15" t="e">
        <f t="shared" si="17"/>
        <v>#DIV/0!</v>
      </c>
      <c r="Q204" s="10"/>
      <c r="R204" s="201" t="e">
        <f t="shared" si="18"/>
        <v>#DIV/0!</v>
      </c>
      <c r="S204" s="202"/>
      <c r="T204" s="202"/>
      <c r="U204" s="203"/>
      <c r="V204" s="14" t="e">
        <f t="shared" si="19"/>
        <v>#DIV/0!</v>
      </c>
      <c r="W204" s="10"/>
      <c r="X204" s="10"/>
    </row>
    <row r="205" spans="1:24" ht="15.75" customHeight="1" x14ac:dyDescent="0.25">
      <c r="A205" s="6">
        <v>36</v>
      </c>
      <c r="B205" s="116"/>
      <c r="C205" s="8"/>
      <c r="D205" s="8"/>
      <c r="E205" s="8"/>
      <c r="F205" s="8"/>
      <c r="G205" s="8"/>
      <c r="H205" s="8"/>
      <c r="I205" s="8"/>
      <c r="J205" s="15" t="e">
        <f t="shared" si="15"/>
        <v>#DIV/0!</v>
      </c>
      <c r="K205" s="8"/>
      <c r="L205" s="8"/>
      <c r="M205" s="15" t="e">
        <f t="shared" si="16"/>
        <v>#DIV/0!</v>
      </c>
      <c r="N205" s="8"/>
      <c r="O205" s="8"/>
      <c r="P205" s="15" t="e">
        <f t="shared" si="17"/>
        <v>#DIV/0!</v>
      </c>
      <c r="Q205" s="10"/>
      <c r="R205" s="201" t="e">
        <f t="shared" si="18"/>
        <v>#DIV/0!</v>
      </c>
      <c r="S205" s="202"/>
      <c r="T205" s="202"/>
      <c r="U205" s="203"/>
      <c r="V205" s="14" t="e">
        <f t="shared" si="19"/>
        <v>#DIV/0!</v>
      </c>
      <c r="W205" s="10"/>
      <c r="X205" s="10"/>
    </row>
    <row r="206" spans="1:24" ht="15.75" customHeight="1" x14ac:dyDescent="0.25">
      <c r="A206" s="6">
        <v>37</v>
      </c>
      <c r="B206" s="120"/>
      <c r="C206" s="8"/>
      <c r="D206" s="8"/>
      <c r="E206" s="8"/>
      <c r="F206" s="8"/>
      <c r="G206" s="8"/>
      <c r="H206" s="8"/>
      <c r="I206" s="8"/>
      <c r="J206" s="15" t="e">
        <f t="shared" si="15"/>
        <v>#DIV/0!</v>
      </c>
      <c r="K206" s="8"/>
      <c r="L206" s="8"/>
      <c r="M206" s="15" t="e">
        <f t="shared" si="16"/>
        <v>#DIV/0!</v>
      </c>
      <c r="N206" s="8"/>
      <c r="O206" s="8"/>
      <c r="P206" s="15" t="e">
        <f t="shared" si="17"/>
        <v>#DIV/0!</v>
      </c>
      <c r="Q206" s="10"/>
      <c r="R206" s="201" t="e">
        <f t="shared" si="18"/>
        <v>#DIV/0!</v>
      </c>
      <c r="S206" s="202"/>
      <c r="T206" s="202"/>
      <c r="U206" s="203"/>
      <c r="V206" s="14" t="e">
        <f t="shared" si="19"/>
        <v>#DIV/0!</v>
      </c>
      <c r="W206" s="10"/>
      <c r="X206" s="10"/>
    </row>
    <row r="207" spans="1:24" ht="15.75" customHeight="1" x14ac:dyDescent="0.25">
      <c r="A207" s="6">
        <v>38</v>
      </c>
      <c r="B207" s="120"/>
      <c r="C207" s="8"/>
      <c r="D207" s="8"/>
      <c r="E207" s="8"/>
      <c r="F207" s="8"/>
      <c r="G207" s="8"/>
      <c r="H207" s="8"/>
      <c r="I207" s="8"/>
      <c r="J207" s="15" t="e">
        <f t="shared" si="15"/>
        <v>#DIV/0!</v>
      </c>
      <c r="K207" s="8"/>
      <c r="L207" s="8"/>
      <c r="M207" s="15" t="e">
        <f t="shared" si="16"/>
        <v>#DIV/0!</v>
      </c>
      <c r="N207" s="8"/>
      <c r="O207" s="8"/>
      <c r="P207" s="15" t="e">
        <f t="shared" si="17"/>
        <v>#DIV/0!</v>
      </c>
      <c r="Q207" s="10"/>
      <c r="R207" s="201" t="e">
        <f t="shared" si="18"/>
        <v>#DIV/0!</v>
      </c>
      <c r="S207" s="202"/>
      <c r="T207" s="202"/>
      <c r="U207" s="203"/>
      <c r="V207" s="14" t="e">
        <f t="shared" si="19"/>
        <v>#DIV/0!</v>
      </c>
      <c r="W207" s="10"/>
      <c r="X207" s="10"/>
    </row>
    <row r="208" spans="1:24" ht="15.75" customHeight="1" x14ac:dyDescent="0.25">
      <c r="A208" s="6">
        <v>39</v>
      </c>
      <c r="B208" s="116"/>
      <c r="C208" s="8"/>
      <c r="D208" s="8"/>
      <c r="E208" s="8"/>
      <c r="F208" s="8"/>
      <c r="G208" s="8"/>
      <c r="H208" s="8"/>
      <c r="I208" s="8"/>
      <c r="J208" s="15" t="e">
        <f>((AVERAGE(F208:H208))*72%)+I208*8%</f>
        <v>#DIV/0!</v>
      </c>
      <c r="K208" s="8"/>
      <c r="L208" s="8"/>
      <c r="M208" s="15" t="e">
        <f t="shared" si="16"/>
        <v>#DIV/0!</v>
      </c>
      <c r="N208" s="8"/>
      <c r="O208" s="8"/>
      <c r="P208" s="15" t="e">
        <f t="shared" si="17"/>
        <v>#DIV/0!</v>
      </c>
      <c r="Q208" s="10"/>
      <c r="R208" s="201" t="e">
        <f t="shared" si="18"/>
        <v>#DIV/0!</v>
      </c>
      <c r="S208" s="202"/>
      <c r="T208" s="202"/>
      <c r="U208" s="203"/>
      <c r="V208" s="14" t="e">
        <f t="shared" si="19"/>
        <v>#DIV/0!</v>
      </c>
      <c r="W208" s="10"/>
      <c r="X208" s="10"/>
    </row>
    <row r="209" spans="1:24" ht="15.75" customHeight="1" x14ac:dyDescent="0.25">
      <c r="A209" s="6">
        <v>40</v>
      </c>
      <c r="B209" s="120"/>
      <c r="C209" s="8"/>
      <c r="D209" s="8"/>
      <c r="E209" s="8"/>
      <c r="F209" s="8"/>
      <c r="G209" s="8"/>
      <c r="H209" s="8"/>
      <c r="I209" s="8"/>
      <c r="J209" s="15" t="e">
        <f t="shared" si="15"/>
        <v>#DIV/0!</v>
      </c>
      <c r="K209" s="8"/>
      <c r="L209" s="8"/>
      <c r="M209" s="15" t="e">
        <f t="shared" si="16"/>
        <v>#DIV/0!</v>
      </c>
      <c r="N209" s="8"/>
      <c r="O209" s="8"/>
      <c r="P209" s="15" t="e">
        <f t="shared" si="17"/>
        <v>#DIV/0!</v>
      </c>
      <c r="Q209" s="10"/>
      <c r="R209" s="201" t="e">
        <f t="shared" si="18"/>
        <v>#DIV/0!</v>
      </c>
      <c r="S209" s="202"/>
      <c r="T209" s="202"/>
      <c r="U209" s="203"/>
      <c r="V209" s="14" t="e">
        <f t="shared" si="19"/>
        <v>#DIV/0!</v>
      </c>
      <c r="W209" s="10"/>
      <c r="X209" s="10"/>
    </row>
    <row r="210" spans="1:24" ht="15.75" customHeight="1" x14ac:dyDescent="0.25">
      <c r="A210" s="6">
        <v>41</v>
      </c>
      <c r="B210" s="60"/>
      <c r="C210" s="8"/>
      <c r="D210" s="8"/>
      <c r="E210" s="8"/>
      <c r="F210" s="8"/>
      <c r="G210" s="8"/>
      <c r="H210" s="8"/>
      <c r="I210" s="8"/>
      <c r="J210" s="15" t="e">
        <f t="shared" si="15"/>
        <v>#DIV/0!</v>
      </c>
      <c r="K210" s="8"/>
      <c r="L210" s="8"/>
      <c r="M210" s="15" t="e">
        <f t="shared" si="16"/>
        <v>#DIV/0!</v>
      </c>
      <c r="N210" s="8"/>
      <c r="O210" s="8"/>
      <c r="P210" s="15" t="e">
        <f t="shared" si="17"/>
        <v>#DIV/0!</v>
      </c>
      <c r="Q210" s="10"/>
      <c r="R210" s="201" t="e">
        <f t="shared" si="18"/>
        <v>#DIV/0!</v>
      </c>
      <c r="S210" s="202"/>
      <c r="T210" s="202"/>
      <c r="U210" s="203"/>
      <c r="V210" s="14" t="e">
        <f t="shared" si="19"/>
        <v>#DIV/0!</v>
      </c>
      <c r="W210" s="10"/>
      <c r="X210" s="10"/>
    </row>
    <row r="211" spans="1:24" ht="15.75" customHeight="1" x14ac:dyDescent="0.25">
      <c r="A211" s="6">
        <v>42</v>
      </c>
      <c r="B211" s="60"/>
      <c r="C211" s="8"/>
      <c r="D211" s="8"/>
      <c r="E211" s="8"/>
      <c r="F211" s="8"/>
      <c r="G211" s="8"/>
      <c r="H211" s="8"/>
      <c r="I211" s="8"/>
      <c r="J211" s="15" t="e">
        <f t="shared" si="15"/>
        <v>#DIV/0!</v>
      </c>
      <c r="K211" s="8"/>
      <c r="L211" s="8"/>
      <c r="M211" s="15" t="e">
        <f t="shared" si="16"/>
        <v>#DIV/0!</v>
      </c>
      <c r="N211" s="8"/>
      <c r="O211" s="8"/>
      <c r="P211" s="15" t="e">
        <f t="shared" si="17"/>
        <v>#DIV/0!</v>
      </c>
      <c r="Q211" s="10"/>
      <c r="R211" s="201" t="e">
        <f t="shared" si="18"/>
        <v>#DIV/0!</v>
      </c>
      <c r="S211" s="202"/>
      <c r="T211" s="202"/>
      <c r="U211" s="203"/>
      <c r="V211" s="14" t="e">
        <f t="shared" si="19"/>
        <v>#DIV/0!</v>
      </c>
      <c r="W211" s="10"/>
      <c r="X211" s="10"/>
    </row>
    <row r="212" spans="1:24" ht="15.75" customHeight="1" x14ac:dyDescent="0.25">
      <c r="A212" s="6">
        <v>43</v>
      </c>
      <c r="B212" s="60"/>
      <c r="C212" s="8"/>
      <c r="D212" s="8"/>
      <c r="E212" s="8"/>
      <c r="F212" s="8"/>
      <c r="G212" s="8"/>
      <c r="H212" s="8"/>
      <c r="I212" s="8"/>
      <c r="J212" s="15" t="e">
        <f t="shared" si="15"/>
        <v>#DIV/0!</v>
      </c>
      <c r="K212" s="8"/>
      <c r="L212" s="8"/>
      <c r="M212" s="15" t="e">
        <f t="shared" si="16"/>
        <v>#DIV/0!</v>
      </c>
      <c r="N212" s="8"/>
      <c r="O212" s="8"/>
      <c r="P212" s="15" t="e">
        <f t="shared" si="17"/>
        <v>#DIV/0!</v>
      </c>
      <c r="Q212" s="10"/>
      <c r="R212" s="201" t="e">
        <f t="shared" si="18"/>
        <v>#DIV/0!</v>
      </c>
      <c r="S212" s="202"/>
      <c r="T212" s="202"/>
      <c r="U212" s="203"/>
      <c r="V212" s="14" t="e">
        <f t="shared" si="19"/>
        <v>#DIV/0!</v>
      </c>
      <c r="W212" s="10"/>
      <c r="X212" s="10"/>
    </row>
    <row r="213" spans="1:24" ht="15.75" customHeight="1" x14ac:dyDescent="0.25">
      <c r="A213" s="6">
        <v>44</v>
      </c>
      <c r="B213" s="60"/>
      <c r="C213" s="8"/>
      <c r="D213" s="8"/>
      <c r="E213" s="8"/>
      <c r="F213" s="8"/>
      <c r="G213" s="8"/>
      <c r="H213" s="8"/>
      <c r="I213" s="8"/>
      <c r="J213" s="15" t="e">
        <f t="shared" si="15"/>
        <v>#DIV/0!</v>
      </c>
      <c r="K213" s="8"/>
      <c r="L213" s="8"/>
      <c r="M213" s="15" t="e">
        <f t="shared" si="16"/>
        <v>#DIV/0!</v>
      </c>
      <c r="N213" s="8"/>
      <c r="O213" s="8"/>
      <c r="P213" s="15" t="e">
        <f t="shared" si="17"/>
        <v>#DIV/0!</v>
      </c>
      <c r="Q213" s="10"/>
      <c r="R213" s="201" t="e">
        <f t="shared" si="18"/>
        <v>#DIV/0!</v>
      </c>
      <c r="S213" s="202"/>
      <c r="T213" s="202"/>
      <c r="U213" s="203"/>
      <c r="V213" s="14" t="e">
        <f t="shared" si="19"/>
        <v>#DIV/0!</v>
      </c>
      <c r="W213" s="10"/>
      <c r="X213" s="10"/>
    </row>
    <row r="214" spans="1:24" ht="15.75" customHeight="1" x14ac:dyDescent="0.25">
      <c r="A214" s="6">
        <v>45</v>
      </c>
      <c r="B214" s="60"/>
      <c r="C214" s="8"/>
      <c r="D214" s="8"/>
      <c r="E214" s="8"/>
      <c r="F214" s="8"/>
      <c r="G214" s="8"/>
      <c r="H214" s="8"/>
      <c r="I214" s="8"/>
      <c r="J214" s="15" t="e">
        <f t="shared" si="15"/>
        <v>#DIV/0!</v>
      </c>
      <c r="K214" s="8"/>
      <c r="L214" s="8"/>
      <c r="M214" s="15" t="e">
        <f t="shared" si="16"/>
        <v>#DIV/0!</v>
      </c>
      <c r="N214" s="8"/>
      <c r="O214" s="8"/>
      <c r="P214" s="15" t="e">
        <f t="shared" si="17"/>
        <v>#DIV/0!</v>
      </c>
      <c r="Q214" s="10"/>
      <c r="R214" s="201" t="e">
        <f t="shared" si="18"/>
        <v>#DIV/0!</v>
      </c>
      <c r="S214" s="202"/>
      <c r="T214" s="202"/>
      <c r="U214" s="203"/>
      <c r="V214" s="14" t="e">
        <f t="shared" si="19"/>
        <v>#DIV/0!</v>
      </c>
      <c r="W214" s="10"/>
      <c r="X214" s="10"/>
    </row>
    <row r="215" spans="1:24" ht="15.75" customHeight="1" thickBot="1" x14ac:dyDescent="0.3">
      <c r="A215" s="16">
        <v>46</v>
      </c>
      <c r="B215" s="61"/>
      <c r="C215" s="13"/>
      <c r="D215" s="13"/>
      <c r="E215" s="13"/>
      <c r="F215" s="13"/>
      <c r="G215" s="13"/>
      <c r="H215" s="13"/>
      <c r="I215" s="13"/>
      <c r="J215" s="15" t="e">
        <f t="shared" si="15"/>
        <v>#DIV/0!</v>
      </c>
      <c r="K215" s="13"/>
      <c r="L215" s="13"/>
      <c r="M215" s="18" t="e">
        <f t="shared" si="16"/>
        <v>#DIV/0!</v>
      </c>
      <c r="N215" s="13"/>
      <c r="O215" s="13"/>
      <c r="P215" s="18" t="e">
        <f t="shared" si="17"/>
        <v>#DIV/0!</v>
      </c>
      <c r="Q215" s="19"/>
      <c r="R215" s="274" t="e">
        <f t="shared" si="18"/>
        <v>#DIV/0!</v>
      </c>
      <c r="S215" s="275"/>
      <c r="T215" s="275"/>
      <c r="U215" s="276"/>
      <c r="V215" s="20" t="e">
        <f t="shared" si="19"/>
        <v>#DIV/0!</v>
      </c>
      <c r="W215" s="10"/>
      <c r="X215" s="10"/>
    </row>
    <row r="216" spans="1:24" ht="15.75" customHeight="1" x14ac:dyDescent="0.25">
      <c r="A216" s="263"/>
      <c r="B216" s="311"/>
      <c r="C216" s="257"/>
      <c r="D216" s="257"/>
      <c r="E216" s="267"/>
      <c r="F216" s="270"/>
      <c r="G216" s="270"/>
      <c r="H216" s="270"/>
      <c r="I216" s="270"/>
      <c r="J216" s="272"/>
      <c r="K216" s="272"/>
      <c r="L216" s="257"/>
      <c r="M216" s="259"/>
      <c r="N216" s="259"/>
      <c r="O216" s="259"/>
      <c r="P216" s="259"/>
      <c r="Q216" s="261"/>
      <c r="R216" s="277"/>
      <c r="S216" s="278"/>
      <c r="T216" s="279"/>
      <c r="U216" s="283"/>
      <c r="V216" s="284"/>
      <c r="W216" s="255"/>
      <c r="X216" s="181"/>
    </row>
    <row r="217" spans="1:24" ht="15.75" customHeight="1" x14ac:dyDescent="0.25">
      <c r="A217" s="264"/>
      <c r="B217" s="312"/>
      <c r="C217" s="205"/>
      <c r="D217" s="205"/>
      <c r="E217" s="210"/>
      <c r="F217" s="211"/>
      <c r="G217" s="211"/>
      <c r="H217" s="211"/>
      <c r="I217" s="211"/>
      <c r="J217" s="204"/>
      <c r="K217" s="204"/>
      <c r="L217" s="205"/>
      <c r="M217" s="185"/>
      <c r="N217" s="185"/>
      <c r="O217" s="185"/>
      <c r="P217" s="185"/>
      <c r="Q217" s="187"/>
      <c r="R217" s="188"/>
      <c r="S217" s="189"/>
      <c r="T217" s="190"/>
      <c r="U217" s="194"/>
      <c r="V217" s="285"/>
      <c r="W217" s="255"/>
      <c r="X217" s="181"/>
    </row>
    <row r="218" spans="1:24" ht="15.75" customHeight="1" x14ac:dyDescent="0.25">
      <c r="A218" s="264"/>
      <c r="B218" s="313"/>
      <c r="C218" s="205"/>
      <c r="D218" s="205"/>
      <c r="E218" s="210"/>
      <c r="F218" s="211"/>
      <c r="G218" s="211"/>
      <c r="H218" s="211"/>
      <c r="I218" s="211"/>
      <c r="J218" s="204"/>
      <c r="K218" s="204"/>
      <c r="L218" s="205"/>
      <c r="M218" s="185"/>
      <c r="N218" s="185"/>
      <c r="O218" s="185"/>
      <c r="P218" s="185"/>
      <c r="Q218" s="187"/>
      <c r="R218" s="188"/>
      <c r="S218" s="189"/>
      <c r="T218" s="190"/>
      <c r="U218" s="194"/>
      <c r="V218" s="285"/>
      <c r="W218" s="255"/>
      <c r="X218" s="181"/>
    </row>
    <row r="219" spans="1:24" ht="15.75" customHeight="1" thickBot="1" x14ac:dyDescent="0.3">
      <c r="A219" s="265"/>
      <c r="B219" s="314"/>
      <c r="C219" s="258"/>
      <c r="D219" s="258"/>
      <c r="E219" s="268"/>
      <c r="F219" s="271"/>
      <c r="G219" s="271"/>
      <c r="H219" s="271"/>
      <c r="I219" s="271"/>
      <c r="J219" s="273"/>
      <c r="K219" s="273"/>
      <c r="L219" s="258"/>
      <c r="M219" s="260"/>
      <c r="N219" s="260"/>
      <c r="O219" s="260"/>
      <c r="P219" s="260"/>
      <c r="Q219" s="262"/>
      <c r="R219" s="280"/>
      <c r="S219" s="281"/>
      <c r="T219" s="282"/>
      <c r="U219" s="286"/>
      <c r="V219" s="287"/>
      <c r="W219" s="256"/>
      <c r="X219" s="182"/>
    </row>
    <row r="220" spans="1:24" ht="15.75" customHeight="1" x14ac:dyDescent="0.25"/>
    <row r="221" spans="1:24" ht="15.75" customHeight="1" x14ac:dyDescent="0.25"/>
    <row r="222" spans="1:24" ht="15.75" customHeight="1" x14ac:dyDescent="0.25"/>
    <row r="223" spans="1:24" ht="15.75" customHeight="1" x14ac:dyDescent="0.25"/>
    <row r="224" spans="1: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</sheetData>
  <sheetProtection algorithmName="SHA-512" hashValue="5ClKapgJVRrOeNt1KF1gTDyvmjB7r/4v91EcdWE8G3trVJhJODObd473dR1du02ERUduRm8j2jvW8Zqnl9foog==" saltValue="pAo6NnlNZ8IxK0B2bnh3QA==" spinCount="100000" sheet="1" objects="1" scenarios="1"/>
  <sortState xmlns:xlrd2="http://schemas.microsoft.com/office/spreadsheetml/2017/richdata2" ref="B175:B207">
    <sortCondition ref="B174:B207"/>
  </sortState>
  <mergeCells count="361">
    <mergeCell ref="W216:W219"/>
    <mergeCell ref="X216:X219"/>
    <mergeCell ref="B218:B219"/>
    <mergeCell ref="L216:L219"/>
    <mergeCell ref="M216:M219"/>
    <mergeCell ref="N216:N219"/>
    <mergeCell ref="O216:O219"/>
    <mergeCell ref="P216:P219"/>
    <mergeCell ref="Q216:Q219"/>
    <mergeCell ref="F216:F219"/>
    <mergeCell ref="G216:G219"/>
    <mergeCell ref="H216:H219"/>
    <mergeCell ref="I216:I219"/>
    <mergeCell ref="J216:J219"/>
    <mergeCell ref="K216:K219"/>
    <mergeCell ref="R215:U215"/>
    <mergeCell ref="A216:A219"/>
    <mergeCell ref="B216:B217"/>
    <mergeCell ref="C216:C219"/>
    <mergeCell ref="D216:D219"/>
    <mergeCell ref="E216:E219"/>
    <mergeCell ref="R216:T219"/>
    <mergeCell ref="U216:V219"/>
    <mergeCell ref="R205:U205"/>
    <mergeCell ref="R206:U206"/>
    <mergeCell ref="R207:U207"/>
    <mergeCell ref="R208:U208"/>
    <mergeCell ref="R209:U209"/>
    <mergeCell ref="R210:U210"/>
    <mergeCell ref="R211:U211"/>
    <mergeCell ref="R212:U212"/>
    <mergeCell ref="R213:U213"/>
    <mergeCell ref="R214:U214"/>
    <mergeCell ref="R199:U199"/>
    <mergeCell ref="R200:U200"/>
    <mergeCell ref="R201:U201"/>
    <mergeCell ref="R202:U202"/>
    <mergeCell ref="R203:U203"/>
    <mergeCell ref="R204:U204"/>
    <mergeCell ref="R193:U193"/>
    <mergeCell ref="R194:U194"/>
    <mergeCell ref="R195:U195"/>
    <mergeCell ref="R196:U196"/>
    <mergeCell ref="R197:U197"/>
    <mergeCell ref="R198:U198"/>
    <mergeCell ref="R187:U187"/>
    <mergeCell ref="R188:U188"/>
    <mergeCell ref="R189:U189"/>
    <mergeCell ref="R190:U190"/>
    <mergeCell ref="R191:U191"/>
    <mergeCell ref="R192:U192"/>
    <mergeCell ref="R181:U181"/>
    <mergeCell ref="R182:U182"/>
    <mergeCell ref="R183:U183"/>
    <mergeCell ref="R184:U184"/>
    <mergeCell ref="R185:U185"/>
    <mergeCell ref="R186:U186"/>
    <mergeCell ref="R175:U175"/>
    <mergeCell ref="R176:U176"/>
    <mergeCell ref="R177:U177"/>
    <mergeCell ref="R178:U178"/>
    <mergeCell ref="R179:U179"/>
    <mergeCell ref="R180:U180"/>
    <mergeCell ref="R170:U170"/>
    <mergeCell ref="R171:U171"/>
    <mergeCell ref="R172:U172"/>
    <mergeCell ref="R173:U173"/>
    <mergeCell ref="R174:U174"/>
    <mergeCell ref="A166:B166"/>
    <mergeCell ref="C166:I166"/>
    <mergeCell ref="J166:Q166"/>
    <mergeCell ref="R166:X166"/>
    <mergeCell ref="A167:A169"/>
    <mergeCell ref="B167:B169"/>
    <mergeCell ref="C167:J167"/>
    <mergeCell ref="K167:M168"/>
    <mergeCell ref="N167:P168"/>
    <mergeCell ref="Q167:Q169"/>
    <mergeCell ref="R169:U169"/>
    <mergeCell ref="R167:V168"/>
    <mergeCell ref="W167:X168"/>
    <mergeCell ref="C168:C169"/>
    <mergeCell ref="D168:D169"/>
    <mergeCell ref="E168:E169"/>
    <mergeCell ref="F168:F169"/>
    <mergeCell ref="G168:G169"/>
    <mergeCell ref="H168:H169"/>
    <mergeCell ref="I168:I169"/>
    <mergeCell ref="J168:J169"/>
    <mergeCell ref="W160:W163"/>
    <mergeCell ref="X160:X163"/>
    <mergeCell ref="B162:B163"/>
    <mergeCell ref="A165:P165"/>
    <mergeCell ref="Q165:X165"/>
    <mergeCell ref="L160:L163"/>
    <mergeCell ref="M160:M163"/>
    <mergeCell ref="N160:N163"/>
    <mergeCell ref="O160:O163"/>
    <mergeCell ref="P160:P163"/>
    <mergeCell ref="Q160:Q163"/>
    <mergeCell ref="F160:F163"/>
    <mergeCell ref="G160:G163"/>
    <mergeCell ref="H160:H163"/>
    <mergeCell ref="I160:I163"/>
    <mergeCell ref="J160:J163"/>
    <mergeCell ref="K160:K163"/>
    <mergeCell ref="R155:U155"/>
    <mergeCell ref="R156:U156"/>
    <mergeCell ref="R157:U157"/>
    <mergeCell ref="R158:U158"/>
    <mergeCell ref="R159:U159"/>
    <mergeCell ref="A160:A163"/>
    <mergeCell ref="B160:B161"/>
    <mergeCell ref="C160:C163"/>
    <mergeCell ref="D160:D163"/>
    <mergeCell ref="E160:E163"/>
    <mergeCell ref="R160:T163"/>
    <mergeCell ref="U160:V163"/>
    <mergeCell ref="R149:U149"/>
    <mergeCell ref="R150:U150"/>
    <mergeCell ref="R151:U151"/>
    <mergeCell ref="R152:U152"/>
    <mergeCell ref="R153:U153"/>
    <mergeCell ref="R154:U154"/>
    <mergeCell ref="R143:U143"/>
    <mergeCell ref="R144:U144"/>
    <mergeCell ref="R145:U145"/>
    <mergeCell ref="R146:U146"/>
    <mergeCell ref="R147:U147"/>
    <mergeCell ref="R148:U148"/>
    <mergeCell ref="R137:U137"/>
    <mergeCell ref="R138:U138"/>
    <mergeCell ref="R139:U139"/>
    <mergeCell ref="R140:U140"/>
    <mergeCell ref="R141:U141"/>
    <mergeCell ref="R142:U142"/>
    <mergeCell ref="R131:U131"/>
    <mergeCell ref="R132:U132"/>
    <mergeCell ref="R133:U133"/>
    <mergeCell ref="R134:U134"/>
    <mergeCell ref="R135:U135"/>
    <mergeCell ref="R136:U136"/>
    <mergeCell ref="R125:U125"/>
    <mergeCell ref="R126:U126"/>
    <mergeCell ref="R127:U127"/>
    <mergeCell ref="R128:U128"/>
    <mergeCell ref="R129:U129"/>
    <mergeCell ref="R130:U130"/>
    <mergeCell ref="R119:U119"/>
    <mergeCell ref="R120:U120"/>
    <mergeCell ref="R121:U121"/>
    <mergeCell ref="R122:U122"/>
    <mergeCell ref="R123:U123"/>
    <mergeCell ref="R124:U124"/>
    <mergeCell ref="R114:U114"/>
    <mergeCell ref="R115:U115"/>
    <mergeCell ref="R116:U116"/>
    <mergeCell ref="R117:U117"/>
    <mergeCell ref="R118:U118"/>
    <mergeCell ref="R111:V112"/>
    <mergeCell ref="W111:X112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A110:B110"/>
    <mergeCell ref="C110:I110"/>
    <mergeCell ref="J110:Q110"/>
    <mergeCell ref="R110:X110"/>
    <mergeCell ref="A111:A113"/>
    <mergeCell ref="B111:B113"/>
    <mergeCell ref="C111:J111"/>
    <mergeCell ref="K111:M112"/>
    <mergeCell ref="N111:P112"/>
    <mergeCell ref="Q111:Q113"/>
    <mergeCell ref="R113:U113"/>
    <mergeCell ref="W104:W107"/>
    <mergeCell ref="X104:X107"/>
    <mergeCell ref="B106:B107"/>
    <mergeCell ref="A109:P109"/>
    <mergeCell ref="Q109:X109"/>
    <mergeCell ref="L104:L107"/>
    <mergeCell ref="M104:M107"/>
    <mergeCell ref="N104:N107"/>
    <mergeCell ref="O104:O107"/>
    <mergeCell ref="P104:P107"/>
    <mergeCell ref="Q104:Q107"/>
    <mergeCell ref="F104:F107"/>
    <mergeCell ref="G104:G107"/>
    <mergeCell ref="H104:H107"/>
    <mergeCell ref="I104:I107"/>
    <mergeCell ref="J104:J107"/>
    <mergeCell ref="K104:K107"/>
    <mergeCell ref="R102:U102"/>
    <mergeCell ref="R103:U103"/>
    <mergeCell ref="A104:A107"/>
    <mergeCell ref="B104:B105"/>
    <mergeCell ref="C104:C107"/>
    <mergeCell ref="D104:D107"/>
    <mergeCell ref="E104:E107"/>
    <mergeCell ref="R104:T107"/>
    <mergeCell ref="U104:V107"/>
    <mergeCell ref="R96:U96"/>
    <mergeCell ref="R97:U97"/>
    <mergeCell ref="R98:U98"/>
    <mergeCell ref="R99:U99"/>
    <mergeCell ref="R100:U100"/>
    <mergeCell ref="R101:U101"/>
    <mergeCell ref="R90:U90"/>
    <mergeCell ref="R91:U91"/>
    <mergeCell ref="R92:U92"/>
    <mergeCell ref="R93:U93"/>
    <mergeCell ref="R94:U94"/>
    <mergeCell ref="R95:U95"/>
    <mergeCell ref="R84:U84"/>
    <mergeCell ref="R85:U85"/>
    <mergeCell ref="R86:U86"/>
    <mergeCell ref="R87:U87"/>
    <mergeCell ref="R88:U88"/>
    <mergeCell ref="R89:U89"/>
    <mergeCell ref="R78:U78"/>
    <mergeCell ref="R79:U79"/>
    <mergeCell ref="R80:U80"/>
    <mergeCell ref="R81:U81"/>
    <mergeCell ref="R82:U82"/>
    <mergeCell ref="R83:U83"/>
    <mergeCell ref="R72:U72"/>
    <mergeCell ref="R73:U73"/>
    <mergeCell ref="R74:U74"/>
    <mergeCell ref="R75:U75"/>
    <mergeCell ref="R76:U76"/>
    <mergeCell ref="R77:U77"/>
    <mergeCell ref="R66:U66"/>
    <mergeCell ref="R67:U67"/>
    <mergeCell ref="R68:U68"/>
    <mergeCell ref="R69:U69"/>
    <mergeCell ref="R70:U70"/>
    <mergeCell ref="R71:U71"/>
    <mergeCell ref="R61:U61"/>
    <mergeCell ref="R62:U62"/>
    <mergeCell ref="R63:U63"/>
    <mergeCell ref="R64:U64"/>
    <mergeCell ref="R65:U65"/>
    <mergeCell ref="R58:V59"/>
    <mergeCell ref="W58:X59"/>
    <mergeCell ref="C59:C60"/>
    <mergeCell ref="D59:D60"/>
    <mergeCell ref="E59:E60"/>
    <mergeCell ref="F59:F60"/>
    <mergeCell ref="G59:G60"/>
    <mergeCell ref="H59:H60"/>
    <mergeCell ref="I59:I60"/>
    <mergeCell ref="J59:J60"/>
    <mergeCell ref="A57:B57"/>
    <mergeCell ref="C57:I57"/>
    <mergeCell ref="J57:Q57"/>
    <mergeCell ref="R57:X57"/>
    <mergeCell ref="A58:A60"/>
    <mergeCell ref="B58:B60"/>
    <mergeCell ref="C58:J58"/>
    <mergeCell ref="K58:M59"/>
    <mergeCell ref="N58:P59"/>
    <mergeCell ref="Q58:Q60"/>
    <mergeCell ref="R60:U60"/>
    <mergeCell ref="W52:W55"/>
    <mergeCell ref="X52:X55"/>
    <mergeCell ref="B54:B55"/>
    <mergeCell ref="A56:P56"/>
    <mergeCell ref="Q56:X56"/>
    <mergeCell ref="L52:L55"/>
    <mergeCell ref="M52:M55"/>
    <mergeCell ref="N52:N55"/>
    <mergeCell ref="O52:O55"/>
    <mergeCell ref="P52:P55"/>
    <mergeCell ref="Q52:Q55"/>
    <mergeCell ref="F52:F55"/>
    <mergeCell ref="G52:G55"/>
    <mergeCell ref="H52:H55"/>
    <mergeCell ref="I52:I55"/>
    <mergeCell ref="J52:J55"/>
    <mergeCell ref="K52:K55"/>
    <mergeCell ref="R47:U47"/>
    <mergeCell ref="R48:U48"/>
    <mergeCell ref="R49:U49"/>
    <mergeCell ref="R50:U50"/>
    <mergeCell ref="R51:U51"/>
    <mergeCell ref="A52:A55"/>
    <mergeCell ref="B52:B53"/>
    <mergeCell ref="C52:C55"/>
    <mergeCell ref="D52:D55"/>
    <mergeCell ref="E52:E55"/>
    <mergeCell ref="R52:T55"/>
    <mergeCell ref="U52:V55"/>
    <mergeCell ref="R41:U41"/>
    <mergeCell ref="R42:U42"/>
    <mergeCell ref="R43:U43"/>
    <mergeCell ref="R44:U44"/>
    <mergeCell ref="R45:U45"/>
    <mergeCell ref="R46:U46"/>
    <mergeCell ref="R35:U35"/>
    <mergeCell ref="R36:U36"/>
    <mergeCell ref="R37:U37"/>
    <mergeCell ref="R38:U38"/>
    <mergeCell ref="R39:U39"/>
    <mergeCell ref="R40:U40"/>
    <mergeCell ref="R29:U29"/>
    <mergeCell ref="R30:U30"/>
    <mergeCell ref="R31:U31"/>
    <mergeCell ref="R32:U32"/>
    <mergeCell ref="R33:U33"/>
    <mergeCell ref="R34:U34"/>
    <mergeCell ref="R23:U23"/>
    <mergeCell ref="R24:U24"/>
    <mergeCell ref="R25:U25"/>
    <mergeCell ref="R26:U26"/>
    <mergeCell ref="R27:U27"/>
    <mergeCell ref="R28:U28"/>
    <mergeCell ref="R17:U17"/>
    <mergeCell ref="R18:U18"/>
    <mergeCell ref="R19:U19"/>
    <mergeCell ref="R20:U20"/>
    <mergeCell ref="R21:U21"/>
    <mergeCell ref="R22:U22"/>
    <mergeCell ref="R11:U11"/>
    <mergeCell ref="R12:U12"/>
    <mergeCell ref="R13:U13"/>
    <mergeCell ref="R14:U14"/>
    <mergeCell ref="R15:U15"/>
    <mergeCell ref="R16:U16"/>
    <mergeCell ref="R6:U6"/>
    <mergeCell ref="R7:U7"/>
    <mergeCell ref="R8:U8"/>
    <mergeCell ref="R9:U9"/>
    <mergeCell ref="R10:U10"/>
    <mergeCell ref="R3:V4"/>
    <mergeCell ref="W3:X4"/>
    <mergeCell ref="C4:C5"/>
    <mergeCell ref="D4:D5"/>
    <mergeCell ref="E4:E5"/>
    <mergeCell ref="F4:F5"/>
    <mergeCell ref="G4:G5"/>
    <mergeCell ref="H4:H5"/>
    <mergeCell ref="I4:I5"/>
    <mergeCell ref="J4:J5"/>
    <mergeCell ref="A3:A5"/>
    <mergeCell ref="B3:B5"/>
    <mergeCell ref="C3:J3"/>
    <mergeCell ref="K3:M4"/>
    <mergeCell ref="N3:P4"/>
    <mergeCell ref="Q3:Q5"/>
    <mergeCell ref="A1:P1"/>
    <mergeCell ref="Q1:X1"/>
    <mergeCell ref="A2:B2"/>
    <mergeCell ref="C2:I2"/>
    <mergeCell ref="J2:Q2"/>
    <mergeCell ref="R2:X2"/>
    <mergeCell ref="R5:U5"/>
  </mergeCells>
  <conditionalFormatting sqref="B25:B28">
    <cfRule type="containsText" priority="12" operator="containsText" text="ARZUAGA MENDOZA KAREN TATIANA">
      <formula>NOT(ISERROR(SEARCH("ARZUAGA MENDOZA KAREN TATIANA",B25)))</formula>
    </cfRule>
  </conditionalFormatting>
  <conditionalFormatting sqref="B40">
    <cfRule type="containsText" priority="11" operator="containsText" text="ARZUAGA MENDOZA KAREN TATIANA">
      <formula>NOT(ISERROR(SEARCH("ARZUAGA MENDOZA KAREN TATIANA",B40)))</formula>
    </cfRule>
  </conditionalFormatting>
  <conditionalFormatting sqref="B64">
    <cfRule type="containsText" priority="3" operator="containsText" text="ARZUAGA MENDOZA KAREN TATIANA">
      <formula>NOT(ISERROR(SEARCH("ARZUAGA MENDOZA KAREN TATIANA",B64)))</formula>
    </cfRule>
  </conditionalFormatting>
  <conditionalFormatting sqref="B114:B147 B150">
    <cfRule type="containsText" priority="2" operator="containsText" text="ARZUAGA MENDOZA KAREN TATIANA">
      <formula>NOT(ISERROR(SEARCH("ARZUAGA MENDOZA KAREN TATIANA",B114)))</formula>
    </cfRule>
  </conditionalFormatting>
  <conditionalFormatting sqref="B200:B205">
    <cfRule type="containsText" priority="1" operator="containsText" text="ARZUAGA MENDOZA KAREN TATIANA">
      <formula>NOT(ISERROR(SEARCH("ARZUAGA MENDOZA KAREN TATIANA",B200)))</formula>
    </cfRule>
  </conditionalFormatting>
  <conditionalFormatting sqref="B208">
    <cfRule type="containsText" priority="4" operator="containsText" text="ARZUAGA MENDOZA KAREN TATIANA">
      <formula>NOT(ISERROR(SEARCH("ARZUAGA MENDOZA KAREN TATIANA",B208)))</formula>
    </cfRule>
  </conditionalFormatting>
  <conditionalFormatting sqref="J6:J51">
    <cfRule type="cellIs" dxfId="99" priority="31" operator="lessThan">
      <formula>65</formula>
    </cfRule>
    <cfRule type="cellIs" dxfId="98" priority="32" operator="greaterThan">
      <formula>64</formula>
    </cfRule>
  </conditionalFormatting>
  <conditionalFormatting sqref="J61:J103">
    <cfRule type="cellIs" dxfId="97" priority="26" operator="lessThan">
      <formula>65</formula>
    </cfRule>
    <cfRule type="cellIs" dxfId="96" priority="27" operator="greaterThan">
      <formula>64</formula>
    </cfRule>
  </conditionalFormatting>
  <conditionalFormatting sqref="J114:J159">
    <cfRule type="cellIs" dxfId="95" priority="21" operator="lessThan">
      <formula>65</formula>
    </cfRule>
    <cfRule type="cellIs" dxfId="94" priority="22" operator="greaterThan">
      <formula>64</formula>
    </cfRule>
  </conditionalFormatting>
  <conditionalFormatting sqref="J170:J215">
    <cfRule type="cellIs" dxfId="93" priority="16" operator="lessThan">
      <formula>65</formula>
    </cfRule>
    <cfRule type="cellIs" dxfId="92" priority="17" operator="greaterThan">
      <formula>64</formula>
    </cfRule>
  </conditionalFormatting>
  <conditionalFormatting sqref="M6:M51 P6:P51">
    <cfRule type="cellIs" dxfId="91" priority="35" operator="between">
      <formula>0</formula>
      <formula>100</formula>
    </cfRule>
  </conditionalFormatting>
  <conditionalFormatting sqref="M61:M103 P61:P103">
    <cfRule type="cellIs" dxfId="90" priority="30" operator="between">
      <formula>0</formula>
      <formula>100</formula>
    </cfRule>
  </conditionalFormatting>
  <conditionalFormatting sqref="M114:M159 P114:P159">
    <cfRule type="cellIs" dxfId="89" priority="25" operator="between">
      <formula>0</formula>
      <formula>100</formula>
    </cfRule>
  </conditionalFormatting>
  <conditionalFormatting sqref="M170:M215 P170:P215">
    <cfRule type="cellIs" dxfId="88" priority="20" operator="between">
      <formula>0</formula>
      <formula>100</formula>
    </cfRule>
  </conditionalFormatting>
  <conditionalFormatting sqref="V6:V51">
    <cfRule type="cellIs" dxfId="87" priority="33" operator="between">
      <formula>65</formula>
      <formula>100</formula>
    </cfRule>
    <cfRule type="cellIs" dxfId="86" priority="34" operator="lessThan">
      <formula>65</formula>
    </cfRule>
  </conditionalFormatting>
  <conditionalFormatting sqref="V61:V103">
    <cfRule type="cellIs" dxfId="85" priority="28" operator="between">
      <formula>65</formula>
      <formula>100</formula>
    </cfRule>
    <cfRule type="cellIs" dxfId="84" priority="29" operator="lessThan">
      <formula>65</formula>
    </cfRule>
  </conditionalFormatting>
  <conditionalFormatting sqref="V114:V159">
    <cfRule type="cellIs" dxfId="83" priority="23" operator="between">
      <formula>65</formula>
      <formula>100</formula>
    </cfRule>
    <cfRule type="cellIs" dxfId="82" priority="24" operator="lessThan">
      <formula>65</formula>
    </cfRule>
  </conditionalFormatting>
  <conditionalFormatting sqref="V170:V215">
    <cfRule type="cellIs" dxfId="81" priority="18" operator="between">
      <formula>65</formula>
      <formula>100</formula>
    </cfRule>
    <cfRule type="cellIs" dxfId="80" priority="19" operator="lessThan">
      <formula>65</formula>
    </cfRule>
  </conditionalFormatting>
  <pageMargins left="0.7" right="0.7" top="0.75" bottom="0.75" header="0" footer="0"/>
  <pageSetup paperSize="5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803"/>
  <sheetViews>
    <sheetView showGridLines="0" showRowColHeaders="0" showRuler="0" topLeftCell="A160" zoomScale="85" zoomScaleNormal="85" zoomScaleSheetLayoutView="90" workbookViewId="0">
      <selection activeCell="H200" sqref="H200"/>
    </sheetView>
  </sheetViews>
  <sheetFormatPr baseColWidth="10" defaultColWidth="14.42578125" defaultRowHeight="15" customHeight="1" x14ac:dyDescent="0.25"/>
  <cols>
    <col min="1" max="1" width="3.28515625" style="1" customWidth="1"/>
    <col min="2" max="2" width="39.85546875" style="100" customWidth="1"/>
    <col min="3" max="3" width="4.28515625" style="1" customWidth="1"/>
    <col min="4" max="8" width="4" style="1" customWidth="1"/>
    <col min="9" max="9" width="5" style="1" customWidth="1"/>
    <col min="10" max="10" width="4.28515625" style="1" customWidth="1"/>
    <col min="11" max="11" width="3.7109375" style="1" customWidth="1"/>
    <col min="12" max="12" width="3.5703125" style="1" customWidth="1"/>
    <col min="13" max="13" width="5.140625" style="1" customWidth="1"/>
    <col min="14" max="14" width="4.5703125" style="1" customWidth="1"/>
    <col min="15" max="15" width="3.5703125" style="1" customWidth="1"/>
    <col min="16" max="16" width="5.42578125" style="1" customWidth="1"/>
    <col min="17" max="19" width="3.5703125" style="1" customWidth="1"/>
    <col min="20" max="20" width="4" style="1" customWidth="1"/>
    <col min="21" max="21" width="3.5703125" style="1" customWidth="1"/>
    <col min="22" max="22" width="6.28515625" style="1" customWidth="1"/>
    <col min="23" max="23" width="0.140625" style="1" customWidth="1"/>
    <col min="24" max="24" width="0.5703125" style="1" hidden="1" customWidth="1"/>
    <col min="25" max="27" width="4.140625" style="1" customWidth="1"/>
    <col min="28" max="16384" width="14.42578125" style="1"/>
  </cols>
  <sheetData>
    <row r="1" spans="1:24" ht="87.75" customHeight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2"/>
      <c r="Q1" s="310"/>
      <c r="R1" s="228"/>
      <c r="S1" s="228"/>
      <c r="T1" s="228"/>
      <c r="U1" s="228"/>
      <c r="V1" s="228"/>
      <c r="W1" s="228"/>
      <c r="X1" s="229"/>
    </row>
    <row r="2" spans="1:24" ht="15.75" thickBot="1" x14ac:dyDescent="0.3">
      <c r="A2" s="296" t="s">
        <v>18</v>
      </c>
      <c r="B2" s="297"/>
      <c r="C2" s="298" t="s">
        <v>931</v>
      </c>
      <c r="D2" s="299"/>
      <c r="E2" s="299"/>
      <c r="F2" s="299"/>
      <c r="G2" s="299"/>
      <c r="H2" s="299"/>
      <c r="I2" s="300"/>
      <c r="J2" s="223" t="s">
        <v>20</v>
      </c>
      <c r="K2" s="224"/>
      <c r="L2" s="224"/>
      <c r="M2" s="224"/>
      <c r="N2" s="225"/>
      <c r="O2" s="225"/>
      <c r="P2" s="225"/>
      <c r="Q2" s="226"/>
      <c r="R2" s="227" t="s">
        <v>33</v>
      </c>
      <c r="S2" s="228"/>
      <c r="T2" s="228"/>
      <c r="U2" s="228"/>
      <c r="V2" s="228"/>
      <c r="W2" s="228"/>
      <c r="X2" s="229"/>
    </row>
    <row r="3" spans="1:24" ht="20.25" customHeight="1" x14ac:dyDescent="0.25">
      <c r="A3" s="230" t="s">
        <v>0</v>
      </c>
      <c r="B3" s="319" t="s">
        <v>1</v>
      </c>
      <c r="C3" s="235" t="s">
        <v>12</v>
      </c>
      <c r="D3" s="235"/>
      <c r="E3" s="235"/>
      <c r="F3" s="235"/>
      <c r="G3" s="235"/>
      <c r="H3" s="235"/>
      <c r="I3" s="235"/>
      <c r="J3" s="235"/>
      <c r="K3" s="236" t="s">
        <v>13</v>
      </c>
      <c r="L3" s="237"/>
      <c r="M3" s="237"/>
      <c r="N3" s="240" t="s">
        <v>15</v>
      </c>
      <c r="O3" s="240"/>
      <c r="P3" s="240"/>
      <c r="Q3" s="241" t="s">
        <v>4</v>
      </c>
      <c r="R3" s="244" t="s">
        <v>11</v>
      </c>
      <c r="S3" s="244"/>
      <c r="T3" s="244"/>
      <c r="U3" s="244"/>
      <c r="V3" s="244"/>
      <c r="W3" s="246" t="s">
        <v>2</v>
      </c>
      <c r="X3" s="247"/>
    </row>
    <row r="4" spans="1:24" ht="15" customHeight="1" x14ac:dyDescent="0.25">
      <c r="A4" s="231"/>
      <c r="B4" s="320"/>
      <c r="C4" s="248" t="s">
        <v>6</v>
      </c>
      <c r="D4" s="248" t="s">
        <v>17</v>
      </c>
      <c r="E4" s="248" t="s">
        <v>5</v>
      </c>
      <c r="F4" s="250"/>
      <c r="G4" s="250"/>
      <c r="H4" s="250"/>
      <c r="I4" s="251" t="s">
        <v>16</v>
      </c>
      <c r="J4" s="253" t="s">
        <v>14</v>
      </c>
      <c r="K4" s="238"/>
      <c r="L4" s="239"/>
      <c r="M4" s="239"/>
      <c r="N4" s="240"/>
      <c r="O4" s="240"/>
      <c r="P4" s="240"/>
      <c r="Q4" s="242"/>
      <c r="R4" s="245"/>
      <c r="S4" s="245"/>
      <c r="T4" s="245"/>
      <c r="U4" s="245"/>
      <c r="V4" s="245"/>
      <c r="W4" s="187"/>
      <c r="X4" s="187"/>
    </row>
    <row r="5" spans="1:24" ht="45" customHeight="1" thickBot="1" x14ac:dyDescent="0.3">
      <c r="A5" s="232"/>
      <c r="B5" s="320"/>
      <c r="C5" s="248"/>
      <c r="D5" s="248"/>
      <c r="E5" s="248"/>
      <c r="F5" s="248"/>
      <c r="G5" s="248"/>
      <c r="H5" s="248"/>
      <c r="I5" s="328"/>
      <c r="J5" s="329"/>
      <c r="K5" s="27" t="s">
        <v>9</v>
      </c>
      <c r="L5" s="27" t="s">
        <v>10</v>
      </c>
      <c r="M5" s="55" t="s">
        <v>3</v>
      </c>
      <c r="N5" s="27" t="s">
        <v>9</v>
      </c>
      <c r="O5" s="27" t="s">
        <v>10</v>
      </c>
      <c r="P5" s="56" t="s">
        <v>3</v>
      </c>
      <c r="Q5" s="321"/>
      <c r="R5" s="322" t="s">
        <v>7</v>
      </c>
      <c r="S5" s="323"/>
      <c r="T5" s="323"/>
      <c r="U5" s="324"/>
      <c r="V5" s="57" t="s">
        <v>8</v>
      </c>
      <c r="W5" s="5">
        <v>1</v>
      </c>
      <c r="X5" s="5">
        <v>2</v>
      </c>
    </row>
    <row r="6" spans="1:24" x14ac:dyDescent="0.25">
      <c r="A6" s="38">
        <v>1</v>
      </c>
      <c r="B6" s="69" t="s">
        <v>557</v>
      </c>
      <c r="C6" s="29"/>
      <c r="D6" s="30"/>
      <c r="E6" s="30"/>
      <c r="F6" s="30"/>
      <c r="G6" s="30"/>
      <c r="H6" s="30"/>
      <c r="I6" s="30">
        <v>80</v>
      </c>
      <c r="J6" s="31" t="e">
        <f>((AVERAGE(C6:H6))*72%)+I6*8%</f>
        <v>#DIV/0!</v>
      </c>
      <c r="K6" s="30"/>
      <c r="L6" s="30"/>
      <c r="M6" s="31" t="e">
        <f>(AVERAGE(K6:L6))*10%</f>
        <v>#DIV/0!</v>
      </c>
      <c r="N6" s="30"/>
      <c r="O6" s="30"/>
      <c r="P6" s="31" t="e">
        <f>(AVERAGE(N6:O6))*10%</f>
        <v>#DIV/0!</v>
      </c>
      <c r="Q6" s="30"/>
      <c r="R6" s="325" t="e">
        <f>IF(V6&lt;65,"BAJO",IF(V6&lt;=79,"BASICO",IF(V6&lt;=89,"ALTO",IF(V6&lt;=100,"SUPERIOR"))))</f>
        <v>#DIV/0!</v>
      </c>
      <c r="S6" s="326"/>
      <c r="T6" s="326"/>
      <c r="U6" s="327"/>
      <c r="V6" s="32" t="e">
        <f>J6+M6+P6</f>
        <v>#DIV/0!</v>
      </c>
      <c r="W6" s="24"/>
      <c r="X6" s="10"/>
    </row>
    <row r="7" spans="1:24" x14ac:dyDescent="0.25">
      <c r="A7" s="38">
        <v>2</v>
      </c>
      <c r="B7" s="67" t="s">
        <v>207</v>
      </c>
      <c r="C7" s="26">
        <v>74</v>
      </c>
      <c r="D7" s="8">
        <v>96</v>
      </c>
      <c r="E7" s="8">
        <v>86</v>
      </c>
      <c r="F7" s="8"/>
      <c r="G7" s="8"/>
      <c r="H7" s="8"/>
      <c r="I7" s="9">
        <v>80</v>
      </c>
      <c r="J7" s="15">
        <f t="shared" ref="J7:J51" si="0">((AVERAGE(C7:H7))*72%)+I7*8%</f>
        <v>67.84</v>
      </c>
      <c r="K7" s="8">
        <v>82</v>
      </c>
      <c r="L7" s="8">
        <v>82</v>
      </c>
      <c r="M7" s="15">
        <f t="shared" ref="M7:M51" si="1">(AVERAGE(K7:L7))*10%</f>
        <v>8.2000000000000011</v>
      </c>
      <c r="N7" s="8">
        <v>90</v>
      </c>
      <c r="O7" s="8">
        <v>90</v>
      </c>
      <c r="P7" s="15">
        <f t="shared" ref="P7:P51" si="2">(AVERAGE(N7:O7))*10%</f>
        <v>9</v>
      </c>
      <c r="Q7" s="11"/>
      <c r="R7" s="201" t="str">
        <f t="shared" ref="R7:R51" si="3">IF(V7&lt;65,"BAJO",IF(V7&lt;=79,"BASICO",IF(V7&lt;=89,"ALTO",IF(V7&lt;=100,"SUPERIOR"))))</f>
        <v>ALTO</v>
      </c>
      <c r="S7" s="202"/>
      <c r="T7" s="202"/>
      <c r="U7" s="203"/>
      <c r="V7" s="33">
        <f t="shared" ref="V7:V51" si="4">J7+M7+P7</f>
        <v>85.04</v>
      </c>
      <c r="W7" s="24"/>
      <c r="X7" s="10"/>
    </row>
    <row r="8" spans="1:24" x14ac:dyDescent="0.25">
      <c r="A8" s="38">
        <v>3</v>
      </c>
      <c r="B8" s="116" t="s">
        <v>262</v>
      </c>
      <c r="C8" s="26">
        <v>64</v>
      </c>
      <c r="D8" s="8">
        <v>67</v>
      </c>
      <c r="E8" s="8">
        <v>75</v>
      </c>
      <c r="F8" s="8"/>
      <c r="G8" s="8"/>
      <c r="H8" s="8"/>
      <c r="I8" s="9">
        <v>40</v>
      </c>
      <c r="J8" s="15">
        <f t="shared" si="0"/>
        <v>52.640000000000008</v>
      </c>
      <c r="K8" s="8">
        <v>98</v>
      </c>
      <c r="L8" s="8">
        <v>98</v>
      </c>
      <c r="M8" s="15">
        <f t="shared" si="1"/>
        <v>9.8000000000000007</v>
      </c>
      <c r="N8" s="8">
        <v>80</v>
      </c>
      <c r="O8" s="8">
        <v>80</v>
      </c>
      <c r="P8" s="15">
        <f t="shared" si="2"/>
        <v>8</v>
      </c>
      <c r="Q8" s="11"/>
      <c r="R8" s="201" t="str">
        <f t="shared" si="3"/>
        <v>BASICO</v>
      </c>
      <c r="S8" s="202"/>
      <c r="T8" s="202"/>
      <c r="U8" s="203"/>
      <c r="V8" s="33">
        <f t="shared" si="4"/>
        <v>70.440000000000012</v>
      </c>
      <c r="W8" s="24"/>
      <c r="X8" s="10"/>
    </row>
    <row r="9" spans="1:24" x14ac:dyDescent="0.25">
      <c r="A9" s="38">
        <v>4</v>
      </c>
      <c r="B9" s="67" t="s">
        <v>909</v>
      </c>
      <c r="C9" s="26">
        <v>39</v>
      </c>
      <c r="D9" s="8">
        <v>65</v>
      </c>
      <c r="E9" s="8">
        <v>100</v>
      </c>
      <c r="F9" s="8"/>
      <c r="G9" s="8"/>
      <c r="H9" s="8"/>
      <c r="I9" s="8">
        <v>40</v>
      </c>
      <c r="J9" s="15">
        <f t="shared" si="0"/>
        <v>52.160000000000004</v>
      </c>
      <c r="K9" s="8">
        <v>89</v>
      </c>
      <c r="L9" s="8">
        <v>89</v>
      </c>
      <c r="M9" s="15">
        <f t="shared" si="1"/>
        <v>8.9</v>
      </c>
      <c r="N9" s="8">
        <v>92</v>
      </c>
      <c r="O9" s="8">
        <v>92</v>
      </c>
      <c r="P9" s="15">
        <f t="shared" si="2"/>
        <v>9.2000000000000011</v>
      </c>
      <c r="Q9" s="11"/>
      <c r="R9" s="201" t="str">
        <f t="shared" si="3"/>
        <v>BASICO</v>
      </c>
      <c r="S9" s="202"/>
      <c r="T9" s="202"/>
      <c r="U9" s="203"/>
      <c r="V9" s="33">
        <f t="shared" si="4"/>
        <v>70.260000000000005</v>
      </c>
      <c r="W9" s="24"/>
      <c r="X9" s="10"/>
    </row>
    <row r="10" spans="1:24" x14ac:dyDescent="0.25">
      <c r="A10" s="38">
        <v>5</v>
      </c>
      <c r="B10" s="67" t="s">
        <v>208</v>
      </c>
      <c r="C10" s="26">
        <v>90</v>
      </c>
      <c r="D10" s="8">
        <v>99</v>
      </c>
      <c r="E10" s="8">
        <v>57</v>
      </c>
      <c r="F10" s="8"/>
      <c r="G10" s="8"/>
      <c r="H10" s="8"/>
      <c r="I10" s="8">
        <v>40</v>
      </c>
      <c r="J10" s="15">
        <f t="shared" si="0"/>
        <v>62.24</v>
      </c>
      <c r="K10" s="8">
        <v>88</v>
      </c>
      <c r="L10" s="8">
        <v>88</v>
      </c>
      <c r="M10" s="15">
        <f t="shared" si="1"/>
        <v>8.8000000000000007</v>
      </c>
      <c r="N10" s="8">
        <v>93</v>
      </c>
      <c r="O10" s="8">
        <v>93</v>
      </c>
      <c r="P10" s="15">
        <f t="shared" si="2"/>
        <v>9.3000000000000007</v>
      </c>
      <c r="Q10" s="10"/>
      <c r="R10" s="201" t="str">
        <f t="shared" si="3"/>
        <v>ALTO</v>
      </c>
      <c r="S10" s="202"/>
      <c r="T10" s="202"/>
      <c r="U10" s="203"/>
      <c r="V10" s="33">
        <f t="shared" si="4"/>
        <v>80.34</v>
      </c>
      <c r="W10" s="24"/>
      <c r="X10" s="10"/>
    </row>
    <row r="11" spans="1:24" x14ac:dyDescent="0.25">
      <c r="A11" s="38">
        <v>6</v>
      </c>
      <c r="B11" s="67" t="s">
        <v>792</v>
      </c>
      <c r="C11" s="26">
        <v>23</v>
      </c>
      <c r="D11" s="8">
        <v>93</v>
      </c>
      <c r="E11" s="8">
        <v>91</v>
      </c>
      <c r="F11" s="8"/>
      <c r="G11" s="8"/>
      <c r="H11" s="8"/>
      <c r="I11" s="8">
        <v>40</v>
      </c>
      <c r="J11" s="15">
        <f t="shared" si="0"/>
        <v>52.88</v>
      </c>
      <c r="K11" s="8">
        <v>93</v>
      </c>
      <c r="L11" s="8">
        <v>93</v>
      </c>
      <c r="M11" s="15">
        <f t="shared" si="1"/>
        <v>9.3000000000000007</v>
      </c>
      <c r="N11" s="8">
        <v>81</v>
      </c>
      <c r="O11" s="8">
        <v>81</v>
      </c>
      <c r="P11" s="15">
        <f t="shared" si="2"/>
        <v>8.1</v>
      </c>
      <c r="Q11" s="10"/>
      <c r="R11" s="201" t="str">
        <f t="shared" si="3"/>
        <v>BASICO</v>
      </c>
      <c r="S11" s="202"/>
      <c r="T11" s="202"/>
      <c r="U11" s="203"/>
      <c r="V11" s="33">
        <f t="shared" si="4"/>
        <v>70.28</v>
      </c>
      <c r="W11" s="24"/>
      <c r="X11" s="10"/>
    </row>
    <row r="12" spans="1:24" x14ac:dyDescent="0.25">
      <c r="A12" s="38">
        <v>7</v>
      </c>
      <c r="B12" s="67" t="s">
        <v>421</v>
      </c>
      <c r="C12" s="26">
        <v>28</v>
      </c>
      <c r="D12" s="8">
        <v>30</v>
      </c>
      <c r="E12" s="8">
        <v>21</v>
      </c>
      <c r="F12" s="8"/>
      <c r="G12" s="8"/>
      <c r="H12" s="8"/>
      <c r="I12" s="8">
        <v>40</v>
      </c>
      <c r="J12" s="15">
        <f t="shared" si="0"/>
        <v>22.159999999999997</v>
      </c>
      <c r="K12" s="8">
        <v>83</v>
      </c>
      <c r="L12" s="8">
        <v>83</v>
      </c>
      <c r="M12" s="15">
        <f t="shared" si="1"/>
        <v>8.3000000000000007</v>
      </c>
      <c r="N12" s="8">
        <v>96</v>
      </c>
      <c r="O12" s="8">
        <v>96</v>
      </c>
      <c r="P12" s="15">
        <f t="shared" si="2"/>
        <v>9.6000000000000014</v>
      </c>
      <c r="Q12" s="10"/>
      <c r="R12" s="201" t="str">
        <f t="shared" si="3"/>
        <v>BAJO</v>
      </c>
      <c r="S12" s="202"/>
      <c r="T12" s="202"/>
      <c r="U12" s="203"/>
      <c r="V12" s="33">
        <f t="shared" si="4"/>
        <v>40.06</v>
      </c>
      <c r="W12" s="24"/>
      <c r="X12" s="10"/>
    </row>
    <row r="13" spans="1:24" x14ac:dyDescent="0.25">
      <c r="A13" s="38">
        <v>8</v>
      </c>
      <c r="B13" s="67" t="s">
        <v>793</v>
      </c>
      <c r="C13" s="26">
        <v>82</v>
      </c>
      <c r="D13" s="8">
        <v>63</v>
      </c>
      <c r="E13" s="8">
        <v>41</v>
      </c>
      <c r="F13" s="8"/>
      <c r="G13" s="8"/>
      <c r="H13" s="8"/>
      <c r="I13" s="8">
        <v>40</v>
      </c>
      <c r="J13" s="15">
        <f t="shared" si="0"/>
        <v>47.84</v>
      </c>
      <c r="K13" s="8">
        <v>90</v>
      </c>
      <c r="L13" s="8">
        <v>90</v>
      </c>
      <c r="M13" s="15">
        <f t="shared" si="1"/>
        <v>9</v>
      </c>
      <c r="N13" s="8">
        <v>99</v>
      </c>
      <c r="O13" s="8">
        <v>99</v>
      </c>
      <c r="P13" s="15">
        <f t="shared" si="2"/>
        <v>9.9</v>
      </c>
      <c r="Q13" s="10"/>
      <c r="R13" s="201" t="str">
        <f t="shared" si="3"/>
        <v>BASICO</v>
      </c>
      <c r="S13" s="202"/>
      <c r="T13" s="202"/>
      <c r="U13" s="203"/>
      <c r="V13" s="33">
        <f t="shared" si="4"/>
        <v>66.740000000000009</v>
      </c>
      <c r="W13" s="24"/>
      <c r="X13" s="10"/>
    </row>
    <row r="14" spans="1:24" x14ac:dyDescent="0.25">
      <c r="A14" s="38">
        <v>9</v>
      </c>
      <c r="B14" s="67" t="s">
        <v>422</v>
      </c>
      <c r="C14" s="26">
        <v>88</v>
      </c>
      <c r="D14" s="8">
        <v>26</v>
      </c>
      <c r="E14" s="8">
        <v>91</v>
      </c>
      <c r="F14" s="8"/>
      <c r="G14" s="8"/>
      <c r="H14" s="8"/>
      <c r="I14" s="8">
        <v>40</v>
      </c>
      <c r="J14" s="15">
        <f t="shared" si="0"/>
        <v>52.4</v>
      </c>
      <c r="K14" s="8">
        <v>91</v>
      </c>
      <c r="L14" s="8">
        <v>91</v>
      </c>
      <c r="M14" s="15">
        <f t="shared" si="1"/>
        <v>9.1</v>
      </c>
      <c r="N14" s="8">
        <v>90</v>
      </c>
      <c r="O14" s="8">
        <v>90</v>
      </c>
      <c r="P14" s="15">
        <f t="shared" si="2"/>
        <v>9</v>
      </c>
      <c r="Q14" s="10"/>
      <c r="R14" s="201" t="str">
        <f t="shared" si="3"/>
        <v>BASICO</v>
      </c>
      <c r="S14" s="202"/>
      <c r="T14" s="202"/>
      <c r="U14" s="203"/>
      <c r="V14" s="33">
        <f t="shared" si="4"/>
        <v>70.5</v>
      </c>
      <c r="W14" s="24"/>
      <c r="X14" s="10"/>
    </row>
    <row r="15" spans="1:24" x14ac:dyDescent="0.25">
      <c r="A15" s="38">
        <v>10</v>
      </c>
      <c r="B15" s="67" t="s">
        <v>235</v>
      </c>
      <c r="C15" s="26">
        <v>21</v>
      </c>
      <c r="D15" s="8">
        <v>91</v>
      </c>
      <c r="E15" s="8">
        <v>100</v>
      </c>
      <c r="F15" s="8"/>
      <c r="G15" s="8"/>
      <c r="H15" s="8"/>
      <c r="I15" s="8">
        <v>40</v>
      </c>
      <c r="J15" s="15">
        <f t="shared" si="0"/>
        <v>54.080000000000005</v>
      </c>
      <c r="K15" s="8">
        <v>82</v>
      </c>
      <c r="L15" s="8">
        <v>82</v>
      </c>
      <c r="M15" s="15">
        <f t="shared" si="1"/>
        <v>8.2000000000000011</v>
      </c>
      <c r="N15" s="8">
        <v>82</v>
      </c>
      <c r="O15" s="8">
        <v>82</v>
      </c>
      <c r="P15" s="15">
        <f t="shared" si="2"/>
        <v>8.2000000000000011</v>
      </c>
      <c r="Q15" s="10"/>
      <c r="R15" s="201" t="str">
        <f t="shared" si="3"/>
        <v>BASICO</v>
      </c>
      <c r="S15" s="202"/>
      <c r="T15" s="202"/>
      <c r="U15" s="203"/>
      <c r="V15" s="33">
        <f t="shared" si="4"/>
        <v>70.48</v>
      </c>
      <c r="W15" s="24"/>
      <c r="X15" s="10"/>
    </row>
    <row r="16" spans="1:24" x14ac:dyDescent="0.25">
      <c r="A16" s="38">
        <v>11</v>
      </c>
      <c r="B16" s="67" t="s">
        <v>210</v>
      </c>
      <c r="C16" s="26">
        <v>33</v>
      </c>
      <c r="D16" s="8">
        <v>90</v>
      </c>
      <c r="E16" s="8">
        <v>61</v>
      </c>
      <c r="F16" s="8"/>
      <c r="G16" s="8"/>
      <c r="H16" s="8"/>
      <c r="I16" s="8">
        <v>40</v>
      </c>
      <c r="J16" s="15">
        <f t="shared" si="0"/>
        <v>47.36</v>
      </c>
      <c r="K16" s="8">
        <v>82</v>
      </c>
      <c r="L16" s="8">
        <v>82</v>
      </c>
      <c r="M16" s="15">
        <f t="shared" si="1"/>
        <v>8.2000000000000011</v>
      </c>
      <c r="N16" s="8">
        <v>94</v>
      </c>
      <c r="O16" s="8">
        <v>94</v>
      </c>
      <c r="P16" s="15">
        <f t="shared" si="2"/>
        <v>9.4</v>
      </c>
      <c r="Q16" s="10"/>
      <c r="R16" s="201" t="str">
        <f t="shared" si="3"/>
        <v>BAJO</v>
      </c>
      <c r="S16" s="202"/>
      <c r="T16" s="202"/>
      <c r="U16" s="203"/>
      <c r="V16" s="33">
        <f t="shared" si="4"/>
        <v>64.960000000000008</v>
      </c>
      <c r="W16" s="24"/>
      <c r="X16" s="10"/>
    </row>
    <row r="17" spans="1:24" x14ac:dyDescent="0.25">
      <c r="A17" s="38">
        <v>12</v>
      </c>
      <c r="B17" s="67" t="s">
        <v>211</v>
      </c>
      <c r="C17" s="26">
        <v>94</v>
      </c>
      <c r="D17" s="8">
        <v>92</v>
      </c>
      <c r="E17" s="8">
        <v>59</v>
      </c>
      <c r="F17" s="8"/>
      <c r="G17" s="8"/>
      <c r="H17" s="8"/>
      <c r="I17" s="8">
        <v>60</v>
      </c>
      <c r="J17" s="15">
        <f t="shared" si="0"/>
        <v>63.6</v>
      </c>
      <c r="K17" s="8">
        <v>83</v>
      </c>
      <c r="L17" s="8">
        <v>83</v>
      </c>
      <c r="M17" s="15">
        <f t="shared" si="1"/>
        <v>8.3000000000000007</v>
      </c>
      <c r="N17" s="8">
        <v>86</v>
      </c>
      <c r="O17" s="8">
        <v>86</v>
      </c>
      <c r="P17" s="15">
        <f t="shared" si="2"/>
        <v>8.6</v>
      </c>
      <c r="Q17" s="10"/>
      <c r="R17" s="201" t="str">
        <f t="shared" si="3"/>
        <v>ALTO</v>
      </c>
      <c r="S17" s="202"/>
      <c r="T17" s="202"/>
      <c r="U17" s="203"/>
      <c r="V17" s="33">
        <f t="shared" si="4"/>
        <v>80.5</v>
      </c>
      <c r="W17" s="24"/>
      <c r="X17" s="10"/>
    </row>
    <row r="18" spans="1:24" x14ac:dyDescent="0.25">
      <c r="A18" s="38">
        <v>13</v>
      </c>
      <c r="B18" s="67" t="s">
        <v>212</v>
      </c>
      <c r="C18" s="26">
        <v>77</v>
      </c>
      <c r="D18" s="8">
        <v>65</v>
      </c>
      <c r="E18" s="8">
        <v>100</v>
      </c>
      <c r="F18" s="8"/>
      <c r="G18" s="8"/>
      <c r="H18" s="8"/>
      <c r="I18" s="8">
        <v>60</v>
      </c>
      <c r="J18" s="15">
        <f t="shared" si="0"/>
        <v>62.879999999999995</v>
      </c>
      <c r="K18" s="8">
        <v>82</v>
      </c>
      <c r="L18" s="8">
        <v>82</v>
      </c>
      <c r="M18" s="15">
        <f t="shared" si="1"/>
        <v>8.2000000000000011</v>
      </c>
      <c r="N18" s="8">
        <v>94</v>
      </c>
      <c r="O18" s="8">
        <v>94</v>
      </c>
      <c r="P18" s="15">
        <f t="shared" si="2"/>
        <v>9.4</v>
      </c>
      <c r="Q18" s="10"/>
      <c r="R18" s="201" t="str">
        <f t="shared" si="3"/>
        <v>ALTO</v>
      </c>
      <c r="S18" s="202"/>
      <c r="T18" s="202"/>
      <c r="U18" s="203"/>
      <c r="V18" s="33">
        <f t="shared" si="4"/>
        <v>80.48</v>
      </c>
      <c r="W18" s="24"/>
      <c r="X18" s="10"/>
    </row>
    <row r="19" spans="1:24" x14ac:dyDescent="0.25">
      <c r="A19" s="38">
        <v>14</v>
      </c>
      <c r="B19" s="67" t="s">
        <v>794</v>
      </c>
      <c r="C19" s="26">
        <v>95</v>
      </c>
      <c r="D19" s="8">
        <v>68</v>
      </c>
      <c r="E19" s="8">
        <v>93</v>
      </c>
      <c r="F19" s="8"/>
      <c r="G19" s="8"/>
      <c r="H19" s="8"/>
      <c r="I19" s="8">
        <v>40</v>
      </c>
      <c r="J19" s="15">
        <f t="shared" si="0"/>
        <v>64.64</v>
      </c>
      <c r="K19" s="8">
        <v>95</v>
      </c>
      <c r="L19" s="8">
        <v>95</v>
      </c>
      <c r="M19" s="15">
        <f t="shared" si="1"/>
        <v>9.5</v>
      </c>
      <c r="N19" s="8">
        <v>99</v>
      </c>
      <c r="O19" s="8">
        <v>99</v>
      </c>
      <c r="P19" s="15">
        <f t="shared" si="2"/>
        <v>9.9</v>
      </c>
      <c r="Q19" s="10"/>
      <c r="R19" s="201" t="str">
        <f t="shared" si="3"/>
        <v>ALTO</v>
      </c>
      <c r="S19" s="202"/>
      <c r="T19" s="202"/>
      <c r="U19" s="203"/>
      <c r="V19" s="33">
        <f t="shared" si="4"/>
        <v>84.04</v>
      </c>
      <c r="W19" s="24"/>
      <c r="X19" s="10"/>
    </row>
    <row r="20" spans="1:24" x14ac:dyDescent="0.25">
      <c r="A20" s="38">
        <v>15</v>
      </c>
      <c r="B20" s="67" t="s">
        <v>213</v>
      </c>
      <c r="C20" s="26">
        <v>83</v>
      </c>
      <c r="D20" s="8">
        <v>44</v>
      </c>
      <c r="E20" s="8">
        <v>51</v>
      </c>
      <c r="F20" s="8"/>
      <c r="G20" s="8"/>
      <c r="H20" s="8"/>
      <c r="I20" s="8">
        <v>40</v>
      </c>
      <c r="J20" s="15">
        <f t="shared" si="0"/>
        <v>45.92</v>
      </c>
      <c r="K20" s="8">
        <v>93</v>
      </c>
      <c r="L20" s="8">
        <v>93</v>
      </c>
      <c r="M20" s="15">
        <f t="shared" si="1"/>
        <v>9.3000000000000007</v>
      </c>
      <c r="N20" s="8">
        <v>95</v>
      </c>
      <c r="O20" s="8">
        <v>95</v>
      </c>
      <c r="P20" s="15">
        <f t="shared" si="2"/>
        <v>9.5</v>
      </c>
      <c r="Q20" s="10"/>
      <c r="R20" s="201" t="str">
        <f t="shared" si="3"/>
        <v>BAJO</v>
      </c>
      <c r="S20" s="202"/>
      <c r="T20" s="202"/>
      <c r="U20" s="203"/>
      <c r="V20" s="33">
        <f t="shared" si="4"/>
        <v>64.72</v>
      </c>
      <c r="W20" s="24"/>
      <c r="X20" s="10"/>
    </row>
    <row r="21" spans="1:24" ht="15.75" customHeight="1" x14ac:dyDescent="0.25">
      <c r="A21" s="38">
        <v>16</v>
      </c>
      <c r="B21" s="67" t="s">
        <v>214</v>
      </c>
      <c r="C21" s="26">
        <v>89</v>
      </c>
      <c r="D21" s="8">
        <v>90</v>
      </c>
      <c r="E21" s="8">
        <v>98</v>
      </c>
      <c r="F21" s="8"/>
      <c r="G21" s="8"/>
      <c r="H21" s="8"/>
      <c r="I21" s="8">
        <v>60</v>
      </c>
      <c r="J21" s="15">
        <f t="shared" si="0"/>
        <v>71.279999999999987</v>
      </c>
      <c r="K21" s="8">
        <v>95</v>
      </c>
      <c r="L21" s="8">
        <v>95</v>
      </c>
      <c r="M21" s="15">
        <f t="shared" si="1"/>
        <v>9.5</v>
      </c>
      <c r="N21" s="8">
        <v>94</v>
      </c>
      <c r="O21" s="8">
        <v>94</v>
      </c>
      <c r="P21" s="15">
        <f t="shared" si="2"/>
        <v>9.4</v>
      </c>
      <c r="Q21" s="10"/>
      <c r="R21" s="201" t="str">
        <f t="shared" si="3"/>
        <v>SUPERIOR</v>
      </c>
      <c r="S21" s="202"/>
      <c r="T21" s="202"/>
      <c r="U21" s="203"/>
      <c r="V21" s="33">
        <f t="shared" si="4"/>
        <v>90.179999999999993</v>
      </c>
      <c r="W21" s="24"/>
      <c r="X21" s="10"/>
    </row>
    <row r="22" spans="1:24" ht="15.75" customHeight="1" x14ac:dyDescent="0.25">
      <c r="A22" s="38">
        <v>17</v>
      </c>
      <c r="B22" s="67" t="s">
        <v>795</v>
      </c>
      <c r="C22" s="26">
        <v>99</v>
      </c>
      <c r="D22" s="8">
        <v>88</v>
      </c>
      <c r="E22" s="8">
        <v>91</v>
      </c>
      <c r="F22" s="8"/>
      <c r="G22" s="8"/>
      <c r="H22" s="8"/>
      <c r="I22" s="13">
        <v>40</v>
      </c>
      <c r="J22" s="15">
        <f t="shared" si="0"/>
        <v>69.92</v>
      </c>
      <c r="K22" s="8">
        <v>99</v>
      </c>
      <c r="L22" s="8">
        <v>99</v>
      </c>
      <c r="M22" s="15">
        <f t="shared" si="1"/>
        <v>9.9</v>
      </c>
      <c r="N22" s="8">
        <v>98</v>
      </c>
      <c r="O22" s="8">
        <v>98</v>
      </c>
      <c r="P22" s="15">
        <f t="shared" si="2"/>
        <v>9.8000000000000007</v>
      </c>
      <c r="Q22" s="10"/>
      <c r="R22" s="201" t="str">
        <f t="shared" si="3"/>
        <v>SUPERIOR</v>
      </c>
      <c r="S22" s="202"/>
      <c r="T22" s="202"/>
      <c r="U22" s="203"/>
      <c r="V22" s="33">
        <f t="shared" si="4"/>
        <v>89.62</v>
      </c>
      <c r="W22" s="24"/>
      <c r="X22" s="10"/>
    </row>
    <row r="23" spans="1:24" ht="15.75" customHeight="1" x14ac:dyDescent="0.25">
      <c r="A23" s="38">
        <v>18</v>
      </c>
      <c r="B23" s="67" t="s">
        <v>215</v>
      </c>
      <c r="C23" s="26">
        <v>47</v>
      </c>
      <c r="D23" s="8">
        <v>86</v>
      </c>
      <c r="E23" s="8">
        <v>33</v>
      </c>
      <c r="F23" s="8"/>
      <c r="G23" s="8"/>
      <c r="H23" s="8"/>
      <c r="I23" s="8">
        <v>40</v>
      </c>
      <c r="J23" s="15">
        <f t="shared" si="0"/>
        <v>43.040000000000006</v>
      </c>
      <c r="K23" s="8">
        <v>93</v>
      </c>
      <c r="L23" s="8">
        <v>93</v>
      </c>
      <c r="M23" s="15">
        <f t="shared" si="1"/>
        <v>9.3000000000000007</v>
      </c>
      <c r="N23" s="8">
        <v>93</v>
      </c>
      <c r="O23" s="8">
        <v>93</v>
      </c>
      <c r="P23" s="15">
        <f t="shared" si="2"/>
        <v>9.3000000000000007</v>
      </c>
      <c r="Q23" s="10"/>
      <c r="R23" s="201" t="str">
        <f t="shared" si="3"/>
        <v>BAJO</v>
      </c>
      <c r="S23" s="202"/>
      <c r="T23" s="202"/>
      <c r="U23" s="203"/>
      <c r="V23" s="33">
        <f t="shared" si="4"/>
        <v>61.64</v>
      </c>
      <c r="W23" s="24"/>
      <c r="X23" s="10"/>
    </row>
    <row r="24" spans="1:24" ht="15.75" customHeight="1" x14ac:dyDescent="0.25">
      <c r="A24" s="38">
        <v>19</v>
      </c>
      <c r="B24" s="67" t="s">
        <v>423</v>
      </c>
      <c r="C24" s="26">
        <v>81</v>
      </c>
      <c r="D24" s="8">
        <v>33</v>
      </c>
      <c r="E24" s="8">
        <v>64</v>
      </c>
      <c r="F24" s="8"/>
      <c r="G24" s="8"/>
      <c r="H24" s="8"/>
      <c r="I24" s="8">
        <v>40</v>
      </c>
      <c r="J24" s="15">
        <f t="shared" si="0"/>
        <v>45.92</v>
      </c>
      <c r="K24" s="8">
        <v>90</v>
      </c>
      <c r="L24" s="8">
        <v>90</v>
      </c>
      <c r="M24" s="15">
        <f t="shared" si="1"/>
        <v>9</v>
      </c>
      <c r="N24" s="8">
        <v>99</v>
      </c>
      <c r="O24" s="8">
        <v>99</v>
      </c>
      <c r="P24" s="15">
        <f t="shared" si="2"/>
        <v>9.9</v>
      </c>
      <c r="Q24" s="10"/>
      <c r="R24" s="201" t="str">
        <f t="shared" si="3"/>
        <v>BAJO</v>
      </c>
      <c r="S24" s="202"/>
      <c r="T24" s="202"/>
      <c r="U24" s="203"/>
      <c r="V24" s="33">
        <f t="shared" si="4"/>
        <v>64.820000000000007</v>
      </c>
      <c r="W24" s="24"/>
      <c r="X24" s="10"/>
    </row>
    <row r="25" spans="1:24" ht="15.75" customHeight="1" x14ac:dyDescent="0.25">
      <c r="A25" s="38">
        <v>20</v>
      </c>
      <c r="B25" s="67" t="s">
        <v>216</v>
      </c>
      <c r="C25" s="26">
        <v>85</v>
      </c>
      <c r="D25" s="8">
        <v>64</v>
      </c>
      <c r="E25" s="8">
        <v>68</v>
      </c>
      <c r="F25" s="8"/>
      <c r="G25" s="8"/>
      <c r="H25" s="8"/>
      <c r="I25" s="8">
        <v>40</v>
      </c>
      <c r="J25" s="15">
        <f t="shared" si="0"/>
        <v>55.279999999999994</v>
      </c>
      <c r="K25" s="8">
        <v>69</v>
      </c>
      <c r="L25" s="8">
        <v>69</v>
      </c>
      <c r="M25" s="15">
        <f t="shared" si="1"/>
        <v>6.9</v>
      </c>
      <c r="N25" s="8">
        <v>74</v>
      </c>
      <c r="O25" s="8">
        <v>74</v>
      </c>
      <c r="P25" s="15">
        <f t="shared" si="2"/>
        <v>7.4</v>
      </c>
      <c r="Q25" s="10"/>
      <c r="R25" s="201" t="str">
        <f t="shared" si="3"/>
        <v>BASICO</v>
      </c>
      <c r="S25" s="202"/>
      <c r="T25" s="202"/>
      <c r="U25" s="203"/>
      <c r="V25" s="33">
        <f t="shared" si="4"/>
        <v>69.58</v>
      </c>
      <c r="W25" s="24"/>
      <c r="X25" s="10"/>
    </row>
    <row r="26" spans="1:24" ht="15.75" customHeight="1" x14ac:dyDescent="0.25">
      <c r="A26" s="38">
        <v>21</v>
      </c>
      <c r="B26" s="67" t="s">
        <v>425</v>
      </c>
      <c r="C26" s="26">
        <v>39</v>
      </c>
      <c r="D26" s="8">
        <v>98</v>
      </c>
      <c r="E26" s="8">
        <v>45</v>
      </c>
      <c r="F26" s="8"/>
      <c r="G26" s="8"/>
      <c r="H26" s="8"/>
      <c r="I26" s="8">
        <v>67</v>
      </c>
      <c r="J26" s="15">
        <f t="shared" si="0"/>
        <v>49.04</v>
      </c>
      <c r="K26" s="8">
        <v>82</v>
      </c>
      <c r="L26" s="8">
        <v>82</v>
      </c>
      <c r="M26" s="15">
        <f t="shared" si="1"/>
        <v>8.2000000000000011</v>
      </c>
      <c r="N26" s="8">
        <v>91</v>
      </c>
      <c r="O26" s="8">
        <v>91</v>
      </c>
      <c r="P26" s="15">
        <f t="shared" si="2"/>
        <v>9.1</v>
      </c>
      <c r="Q26" s="10"/>
      <c r="R26" s="201" t="str">
        <f t="shared" si="3"/>
        <v>BASICO</v>
      </c>
      <c r="S26" s="202"/>
      <c r="T26" s="202"/>
      <c r="U26" s="203"/>
      <c r="V26" s="33">
        <f t="shared" si="4"/>
        <v>66.34</v>
      </c>
      <c r="W26" s="24"/>
      <c r="X26" s="10"/>
    </row>
    <row r="27" spans="1:24" ht="15.75" customHeight="1" x14ac:dyDescent="0.25">
      <c r="A27" s="38">
        <v>22</v>
      </c>
      <c r="B27" s="67" t="s">
        <v>217</v>
      </c>
      <c r="C27" s="26">
        <v>21</v>
      </c>
      <c r="D27" s="8">
        <v>80</v>
      </c>
      <c r="E27" s="8">
        <v>98</v>
      </c>
      <c r="F27" s="8"/>
      <c r="G27" s="8"/>
      <c r="H27" s="8"/>
      <c r="I27" s="8">
        <v>40</v>
      </c>
      <c r="J27" s="15">
        <f t="shared" si="0"/>
        <v>50.96</v>
      </c>
      <c r="K27" s="8">
        <v>92</v>
      </c>
      <c r="L27" s="8">
        <v>92</v>
      </c>
      <c r="M27" s="15">
        <f t="shared" si="1"/>
        <v>9.2000000000000011</v>
      </c>
      <c r="N27" s="8">
        <v>99</v>
      </c>
      <c r="O27" s="8">
        <v>99</v>
      </c>
      <c r="P27" s="15">
        <f t="shared" si="2"/>
        <v>9.9</v>
      </c>
      <c r="Q27" s="10"/>
      <c r="R27" s="201" t="str">
        <f t="shared" si="3"/>
        <v>BASICO</v>
      </c>
      <c r="S27" s="202"/>
      <c r="T27" s="202"/>
      <c r="U27" s="203"/>
      <c r="V27" s="33">
        <f t="shared" si="4"/>
        <v>70.06</v>
      </c>
      <c r="W27" s="24"/>
      <c r="X27" s="10"/>
    </row>
    <row r="28" spans="1:24" ht="15.75" customHeight="1" x14ac:dyDescent="0.25">
      <c r="A28" s="38">
        <v>23</v>
      </c>
      <c r="B28" s="119" t="s">
        <v>239</v>
      </c>
      <c r="C28" s="26">
        <v>53</v>
      </c>
      <c r="D28" s="8">
        <v>21</v>
      </c>
      <c r="E28" s="8">
        <v>41</v>
      </c>
      <c r="F28" s="8"/>
      <c r="G28" s="8"/>
      <c r="H28" s="8"/>
      <c r="I28" s="8">
        <v>40</v>
      </c>
      <c r="J28" s="15">
        <f t="shared" si="0"/>
        <v>30.8</v>
      </c>
      <c r="K28" s="8">
        <v>96</v>
      </c>
      <c r="L28" s="8">
        <v>96</v>
      </c>
      <c r="M28" s="15">
        <f t="shared" si="1"/>
        <v>9.6000000000000014</v>
      </c>
      <c r="N28" s="8">
        <v>96</v>
      </c>
      <c r="O28" s="8">
        <v>96</v>
      </c>
      <c r="P28" s="15">
        <f t="shared" si="2"/>
        <v>9.6000000000000014</v>
      </c>
      <c r="Q28" s="10"/>
      <c r="R28" s="201" t="str">
        <f t="shared" si="3"/>
        <v>BAJO</v>
      </c>
      <c r="S28" s="202"/>
      <c r="T28" s="202"/>
      <c r="U28" s="203"/>
      <c r="V28" s="33">
        <f t="shared" si="4"/>
        <v>50.000000000000007</v>
      </c>
      <c r="W28" s="24"/>
      <c r="X28" s="10"/>
    </row>
    <row r="29" spans="1:24" ht="15.75" customHeight="1" x14ac:dyDescent="0.25">
      <c r="A29" s="38">
        <v>24</v>
      </c>
      <c r="B29" s="67" t="s">
        <v>796</v>
      </c>
      <c r="C29" s="26">
        <v>100</v>
      </c>
      <c r="D29" s="8">
        <v>100</v>
      </c>
      <c r="E29" s="8">
        <v>100</v>
      </c>
      <c r="F29" s="8"/>
      <c r="G29" s="8"/>
      <c r="H29" s="8"/>
      <c r="I29" s="8">
        <v>60</v>
      </c>
      <c r="J29" s="15">
        <f t="shared" si="0"/>
        <v>76.8</v>
      </c>
      <c r="K29" s="8">
        <v>65</v>
      </c>
      <c r="L29" s="8">
        <v>65</v>
      </c>
      <c r="M29" s="15">
        <f t="shared" si="1"/>
        <v>6.5</v>
      </c>
      <c r="N29" s="8">
        <v>65</v>
      </c>
      <c r="O29" s="8">
        <v>65</v>
      </c>
      <c r="P29" s="15">
        <f t="shared" si="2"/>
        <v>6.5</v>
      </c>
      <c r="Q29" s="10"/>
      <c r="R29" s="201" t="str">
        <f t="shared" si="3"/>
        <v>SUPERIOR</v>
      </c>
      <c r="S29" s="202"/>
      <c r="T29" s="202"/>
      <c r="U29" s="203"/>
      <c r="V29" s="33">
        <f t="shared" si="4"/>
        <v>89.8</v>
      </c>
      <c r="W29" s="24"/>
      <c r="X29" s="10"/>
    </row>
    <row r="30" spans="1:24" ht="15.75" customHeight="1" x14ac:dyDescent="0.25">
      <c r="A30" s="38">
        <v>25</v>
      </c>
      <c r="B30" s="67" t="s">
        <v>426</v>
      </c>
      <c r="C30" s="26">
        <v>70</v>
      </c>
      <c r="D30" s="8">
        <v>75</v>
      </c>
      <c r="E30" s="8">
        <v>59</v>
      </c>
      <c r="F30" s="8"/>
      <c r="G30" s="8"/>
      <c r="H30" s="8"/>
      <c r="I30" s="8">
        <v>40</v>
      </c>
      <c r="J30" s="15">
        <f t="shared" si="0"/>
        <v>52.160000000000004</v>
      </c>
      <c r="K30" s="8">
        <v>80</v>
      </c>
      <c r="L30" s="8">
        <v>80</v>
      </c>
      <c r="M30" s="15">
        <f t="shared" si="1"/>
        <v>8</v>
      </c>
      <c r="N30" s="8">
        <v>80</v>
      </c>
      <c r="O30" s="8">
        <v>80</v>
      </c>
      <c r="P30" s="15">
        <f t="shared" si="2"/>
        <v>8</v>
      </c>
      <c r="Q30" s="10"/>
      <c r="R30" s="201" t="str">
        <f t="shared" si="3"/>
        <v>BASICO</v>
      </c>
      <c r="S30" s="202"/>
      <c r="T30" s="202"/>
      <c r="U30" s="203"/>
      <c r="V30" s="33">
        <f t="shared" si="4"/>
        <v>68.16</v>
      </c>
      <c r="W30" s="24"/>
      <c r="X30" s="10"/>
    </row>
    <row r="31" spans="1:24" ht="15.75" customHeight="1" x14ac:dyDescent="0.25">
      <c r="A31" s="38">
        <v>26</v>
      </c>
      <c r="B31" s="67" t="s">
        <v>219</v>
      </c>
      <c r="C31" s="26">
        <v>74</v>
      </c>
      <c r="D31" s="8">
        <v>31</v>
      </c>
      <c r="E31" s="8">
        <v>49</v>
      </c>
      <c r="F31" s="8"/>
      <c r="G31" s="8"/>
      <c r="H31" s="8"/>
      <c r="I31" s="8">
        <v>67</v>
      </c>
      <c r="J31" s="15">
        <f t="shared" si="0"/>
        <v>42.32</v>
      </c>
      <c r="K31" s="8">
        <v>95</v>
      </c>
      <c r="L31" s="8">
        <v>95</v>
      </c>
      <c r="M31" s="15">
        <f t="shared" si="1"/>
        <v>9.5</v>
      </c>
      <c r="N31" s="8">
        <v>80</v>
      </c>
      <c r="O31" s="8">
        <v>80</v>
      </c>
      <c r="P31" s="15">
        <f t="shared" si="2"/>
        <v>8</v>
      </c>
      <c r="Q31" s="10"/>
      <c r="R31" s="201" t="str">
        <f t="shared" si="3"/>
        <v>BAJO</v>
      </c>
      <c r="S31" s="202"/>
      <c r="T31" s="202"/>
      <c r="U31" s="203"/>
      <c r="V31" s="33">
        <f t="shared" si="4"/>
        <v>59.82</v>
      </c>
      <c r="W31" s="24"/>
      <c r="X31" s="10"/>
    </row>
    <row r="32" spans="1:24" ht="15.75" customHeight="1" x14ac:dyDescent="0.25">
      <c r="A32" s="38">
        <v>27</v>
      </c>
      <c r="B32" s="67" t="s">
        <v>220</v>
      </c>
      <c r="C32" s="26">
        <v>85</v>
      </c>
      <c r="D32" s="8">
        <v>45</v>
      </c>
      <c r="E32" s="8">
        <v>70</v>
      </c>
      <c r="F32" s="8"/>
      <c r="G32" s="8"/>
      <c r="H32" s="8"/>
      <c r="I32" s="8">
        <v>40</v>
      </c>
      <c r="J32" s="15">
        <f t="shared" si="0"/>
        <v>51.2</v>
      </c>
      <c r="K32" s="8">
        <v>98</v>
      </c>
      <c r="L32" s="8">
        <v>98</v>
      </c>
      <c r="M32" s="15">
        <f t="shared" si="1"/>
        <v>9.8000000000000007</v>
      </c>
      <c r="N32" s="8">
        <v>94</v>
      </c>
      <c r="O32" s="8">
        <v>94</v>
      </c>
      <c r="P32" s="15">
        <f t="shared" si="2"/>
        <v>9.4</v>
      </c>
      <c r="Q32" s="10"/>
      <c r="R32" s="201" t="str">
        <f t="shared" si="3"/>
        <v>BASICO</v>
      </c>
      <c r="S32" s="202"/>
      <c r="T32" s="202"/>
      <c r="U32" s="203"/>
      <c r="V32" s="33">
        <f t="shared" si="4"/>
        <v>70.400000000000006</v>
      </c>
      <c r="W32" s="24"/>
      <c r="X32" s="10"/>
    </row>
    <row r="33" spans="1:24" ht="15.75" customHeight="1" x14ac:dyDescent="0.25">
      <c r="A33" s="38">
        <v>28</v>
      </c>
      <c r="B33" s="68" t="s">
        <v>222</v>
      </c>
      <c r="C33" s="26">
        <v>33</v>
      </c>
      <c r="D33" s="8">
        <v>33</v>
      </c>
      <c r="E33" s="8">
        <v>33</v>
      </c>
      <c r="F33" s="8"/>
      <c r="G33" s="8"/>
      <c r="H33" s="8"/>
      <c r="I33" s="8">
        <v>40</v>
      </c>
      <c r="J33" s="15">
        <f t="shared" si="0"/>
        <v>26.959999999999997</v>
      </c>
      <c r="K33" s="8">
        <v>65</v>
      </c>
      <c r="L33" s="8">
        <v>65</v>
      </c>
      <c r="M33" s="15">
        <f t="shared" si="1"/>
        <v>6.5</v>
      </c>
      <c r="N33" s="8">
        <v>65</v>
      </c>
      <c r="O33" s="8">
        <v>65</v>
      </c>
      <c r="P33" s="15">
        <f t="shared" si="2"/>
        <v>6.5</v>
      </c>
      <c r="Q33" s="10"/>
      <c r="R33" s="201" t="str">
        <f t="shared" si="3"/>
        <v>BAJO</v>
      </c>
      <c r="S33" s="202"/>
      <c r="T33" s="202"/>
      <c r="U33" s="203"/>
      <c r="V33" s="33">
        <f t="shared" si="4"/>
        <v>39.959999999999994</v>
      </c>
      <c r="W33" s="24"/>
      <c r="X33" s="10"/>
    </row>
    <row r="34" spans="1:24" ht="15.75" customHeight="1" x14ac:dyDescent="0.25">
      <c r="A34" s="38">
        <v>29</v>
      </c>
      <c r="B34" s="67" t="s">
        <v>223</v>
      </c>
      <c r="C34" s="26">
        <v>54</v>
      </c>
      <c r="D34" s="8">
        <v>42</v>
      </c>
      <c r="E34" s="8">
        <v>20</v>
      </c>
      <c r="F34" s="8"/>
      <c r="G34" s="8"/>
      <c r="H34" s="8"/>
      <c r="I34" s="8">
        <v>40</v>
      </c>
      <c r="J34" s="15">
        <f t="shared" si="0"/>
        <v>31.039999999999996</v>
      </c>
      <c r="K34" s="8">
        <v>96</v>
      </c>
      <c r="L34" s="8">
        <v>96</v>
      </c>
      <c r="M34" s="15">
        <f t="shared" si="1"/>
        <v>9.6000000000000014</v>
      </c>
      <c r="N34" s="8">
        <v>94</v>
      </c>
      <c r="O34" s="8">
        <v>94</v>
      </c>
      <c r="P34" s="15">
        <f t="shared" si="2"/>
        <v>9.4</v>
      </c>
      <c r="Q34" s="10"/>
      <c r="R34" s="201" t="str">
        <f t="shared" si="3"/>
        <v>BAJO</v>
      </c>
      <c r="S34" s="202"/>
      <c r="T34" s="202"/>
      <c r="U34" s="203"/>
      <c r="V34" s="33">
        <f t="shared" si="4"/>
        <v>50.04</v>
      </c>
      <c r="W34" s="24"/>
      <c r="X34" s="10"/>
    </row>
    <row r="35" spans="1:24" ht="15.75" customHeight="1" x14ac:dyDescent="0.25">
      <c r="A35" s="38">
        <v>30</v>
      </c>
      <c r="B35" s="70" t="s">
        <v>184</v>
      </c>
      <c r="C35" s="26">
        <v>65</v>
      </c>
      <c r="D35" s="8">
        <v>84</v>
      </c>
      <c r="E35" s="8">
        <v>59</v>
      </c>
      <c r="F35" s="8"/>
      <c r="G35" s="8"/>
      <c r="H35" s="8"/>
      <c r="I35" s="8">
        <v>60</v>
      </c>
      <c r="J35" s="15">
        <f t="shared" si="0"/>
        <v>54.719999999999992</v>
      </c>
      <c r="K35" s="8">
        <v>99</v>
      </c>
      <c r="L35" s="8">
        <v>99</v>
      </c>
      <c r="M35" s="15">
        <f t="shared" si="1"/>
        <v>9.9</v>
      </c>
      <c r="N35" s="8">
        <v>80</v>
      </c>
      <c r="O35" s="8">
        <v>80</v>
      </c>
      <c r="P35" s="15">
        <f t="shared" si="2"/>
        <v>8</v>
      </c>
      <c r="Q35" s="10"/>
      <c r="R35" s="201" t="str">
        <f t="shared" si="3"/>
        <v>BASICO</v>
      </c>
      <c r="S35" s="202"/>
      <c r="T35" s="202"/>
      <c r="U35" s="203"/>
      <c r="V35" s="33">
        <f t="shared" si="4"/>
        <v>72.61999999999999</v>
      </c>
      <c r="W35" s="24"/>
      <c r="X35" s="10"/>
    </row>
    <row r="36" spans="1:24" ht="15.75" customHeight="1" x14ac:dyDescent="0.25">
      <c r="A36" s="38">
        <v>31</v>
      </c>
      <c r="B36" s="70" t="s">
        <v>224</v>
      </c>
      <c r="C36" s="26">
        <v>30</v>
      </c>
      <c r="D36" s="8">
        <v>79</v>
      </c>
      <c r="E36" s="8">
        <v>64</v>
      </c>
      <c r="F36" s="8"/>
      <c r="G36" s="8"/>
      <c r="H36" s="8"/>
      <c r="I36" s="8">
        <v>40</v>
      </c>
      <c r="J36" s="15">
        <f t="shared" si="0"/>
        <v>44.72</v>
      </c>
      <c r="K36" s="8">
        <v>91</v>
      </c>
      <c r="L36" s="8">
        <v>91</v>
      </c>
      <c r="M36" s="15">
        <f t="shared" si="1"/>
        <v>9.1</v>
      </c>
      <c r="N36" s="8">
        <v>93</v>
      </c>
      <c r="O36" s="8">
        <v>93</v>
      </c>
      <c r="P36" s="15">
        <f t="shared" si="2"/>
        <v>9.3000000000000007</v>
      </c>
      <c r="Q36" s="10"/>
      <c r="R36" s="201" t="str">
        <f t="shared" si="3"/>
        <v>BAJO</v>
      </c>
      <c r="S36" s="202"/>
      <c r="T36" s="202"/>
      <c r="U36" s="203"/>
      <c r="V36" s="33">
        <f t="shared" si="4"/>
        <v>63.120000000000005</v>
      </c>
      <c r="W36" s="24"/>
      <c r="X36" s="10"/>
    </row>
    <row r="37" spans="1:24" ht="15.75" customHeight="1" x14ac:dyDescent="0.25">
      <c r="A37" s="38">
        <v>32</v>
      </c>
      <c r="B37" s="70" t="s">
        <v>225</v>
      </c>
      <c r="C37" s="26">
        <v>54</v>
      </c>
      <c r="D37" s="8">
        <v>89</v>
      </c>
      <c r="E37" s="8">
        <v>100</v>
      </c>
      <c r="F37" s="8"/>
      <c r="G37" s="8"/>
      <c r="H37" s="8"/>
      <c r="I37" s="8">
        <v>60</v>
      </c>
      <c r="J37" s="15">
        <f t="shared" si="0"/>
        <v>63.12</v>
      </c>
      <c r="K37" s="8">
        <v>87</v>
      </c>
      <c r="L37" s="8">
        <v>87</v>
      </c>
      <c r="M37" s="15">
        <f t="shared" si="1"/>
        <v>8.7000000000000011</v>
      </c>
      <c r="N37" s="8">
        <v>82</v>
      </c>
      <c r="O37" s="8">
        <v>82</v>
      </c>
      <c r="P37" s="15">
        <f t="shared" si="2"/>
        <v>8.2000000000000011</v>
      </c>
      <c r="Q37" s="10"/>
      <c r="R37" s="201" t="str">
        <f t="shared" si="3"/>
        <v>ALTO</v>
      </c>
      <c r="S37" s="202"/>
      <c r="T37" s="202"/>
      <c r="U37" s="203"/>
      <c r="V37" s="33">
        <f t="shared" si="4"/>
        <v>80.02</v>
      </c>
      <c r="W37" s="24"/>
      <c r="X37" s="10"/>
    </row>
    <row r="38" spans="1:24" ht="15.75" customHeight="1" x14ac:dyDescent="0.25">
      <c r="A38" s="38">
        <v>33</v>
      </c>
      <c r="B38" s="71" t="s">
        <v>428</v>
      </c>
      <c r="C38" s="26">
        <v>68</v>
      </c>
      <c r="D38" s="8">
        <v>91</v>
      </c>
      <c r="E38" s="8">
        <v>76</v>
      </c>
      <c r="F38" s="8"/>
      <c r="G38" s="8"/>
      <c r="H38" s="8"/>
      <c r="I38" s="8">
        <v>67</v>
      </c>
      <c r="J38" s="15">
        <f t="shared" si="0"/>
        <v>61.759999999999991</v>
      </c>
      <c r="K38" s="8">
        <v>93</v>
      </c>
      <c r="L38" s="8">
        <v>93</v>
      </c>
      <c r="M38" s="15">
        <f t="shared" si="1"/>
        <v>9.3000000000000007</v>
      </c>
      <c r="N38" s="8">
        <v>86</v>
      </c>
      <c r="O38" s="8">
        <v>86</v>
      </c>
      <c r="P38" s="15">
        <f t="shared" si="2"/>
        <v>8.6</v>
      </c>
      <c r="Q38" s="10"/>
      <c r="R38" s="201" t="str">
        <f t="shared" si="3"/>
        <v>ALTO</v>
      </c>
      <c r="S38" s="202"/>
      <c r="T38" s="202"/>
      <c r="U38" s="203"/>
      <c r="V38" s="33">
        <f t="shared" si="4"/>
        <v>79.659999999999982</v>
      </c>
      <c r="W38" s="24"/>
      <c r="X38" s="10"/>
    </row>
    <row r="39" spans="1:24" ht="15.75" customHeight="1" x14ac:dyDescent="0.25">
      <c r="A39" s="38">
        <v>34</v>
      </c>
      <c r="B39" s="70" t="s">
        <v>226</v>
      </c>
      <c r="C39" s="26">
        <v>29</v>
      </c>
      <c r="D39" s="8">
        <v>58</v>
      </c>
      <c r="E39" s="8">
        <v>97</v>
      </c>
      <c r="F39" s="8"/>
      <c r="G39" s="8"/>
      <c r="H39" s="8"/>
      <c r="I39" s="8">
        <v>40</v>
      </c>
      <c r="J39" s="15">
        <f t="shared" si="0"/>
        <v>47.36</v>
      </c>
      <c r="K39" s="8">
        <v>84</v>
      </c>
      <c r="L39" s="8">
        <v>84</v>
      </c>
      <c r="M39" s="15">
        <f t="shared" si="1"/>
        <v>8.4</v>
      </c>
      <c r="N39" s="8">
        <v>92</v>
      </c>
      <c r="O39" s="8">
        <v>92</v>
      </c>
      <c r="P39" s="15">
        <f t="shared" si="2"/>
        <v>9.2000000000000011</v>
      </c>
      <c r="Q39" s="10"/>
      <c r="R39" s="201" t="str">
        <f t="shared" si="3"/>
        <v>BAJO</v>
      </c>
      <c r="S39" s="202"/>
      <c r="T39" s="202"/>
      <c r="U39" s="203"/>
      <c r="V39" s="33">
        <f t="shared" si="4"/>
        <v>64.959999999999994</v>
      </c>
      <c r="W39" s="24"/>
      <c r="X39" s="10"/>
    </row>
    <row r="40" spans="1:24" ht="15.75" customHeight="1" x14ac:dyDescent="0.25">
      <c r="A40" s="38">
        <v>35</v>
      </c>
      <c r="B40" s="70" t="s">
        <v>430</v>
      </c>
      <c r="C40" s="26">
        <v>100</v>
      </c>
      <c r="D40" s="8">
        <v>100</v>
      </c>
      <c r="E40" s="8">
        <v>100</v>
      </c>
      <c r="F40" s="8"/>
      <c r="G40" s="8"/>
      <c r="H40" s="8"/>
      <c r="I40" s="8">
        <v>60</v>
      </c>
      <c r="J40" s="15">
        <f t="shared" si="0"/>
        <v>76.8</v>
      </c>
      <c r="K40" s="8">
        <v>65</v>
      </c>
      <c r="L40" s="8">
        <v>65</v>
      </c>
      <c r="M40" s="15">
        <f t="shared" si="1"/>
        <v>6.5</v>
      </c>
      <c r="N40" s="8">
        <v>65</v>
      </c>
      <c r="O40" s="8">
        <v>65</v>
      </c>
      <c r="P40" s="15">
        <f t="shared" si="2"/>
        <v>6.5</v>
      </c>
      <c r="Q40" s="10"/>
      <c r="R40" s="201" t="str">
        <f t="shared" si="3"/>
        <v>SUPERIOR</v>
      </c>
      <c r="S40" s="202"/>
      <c r="T40" s="202"/>
      <c r="U40" s="203"/>
      <c r="V40" s="33">
        <f t="shared" si="4"/>
        <v>89.8</v>
      </c>
      <c r="W40" s="24"/>
      <c r="X40" s="10"/>
    </row>
    <row r="41" spans="1:24" ht="15.75" customHeight="1" x14ac:dyDescent="0.25">
      <c r="A41" s="38">
        <v>36</v>
      </c>
      <c r="B41" s="70" t="s">
        <v>549</v>
      </c>
      <c r="C41" s="26">
        <v>32</v>
      </c>
      <c r="D41" s="8">
        <v>62</v>
      </c>
      <c r="E41" s="8">
        <v>34</v>
      </c>
      <c r="F41" s="8"/>
      <c r="G41" s="8"/>
      <c r="H41" s="8"/>
      <c r="I41" s="8">
        <v>40</v>
      </c>
      <c r="J41" s="15">
        <f t="shared" si="0"/>
        <v>33.92</v>
      </c>
      <c r="K41" s="8">
        <v>81</v>
      </c>
      <c r="L41" s="8">
        <v>81</v>
      </c>
      <c r="M41" s="15">
        <f t="shared" si="1"/>
        <v>8.1</v>
      </c>
      <c r="N41" s="8">
        <v>80</v>
      </c>
      <c r="O41" s="8">
        <v>80</v>
      </c>
      <c r="P41" s="15">
        <f t="shared" si="2"/>
        <v>8</v>
      </c>
      <c r="Q41" s="10"/>
      <c r="R41" s="201" t="str">
        <f t="shared" si="3"/>
        <v>BAJO</v>
      </c>
      <c r="S41" s="202"/>
      <c r="T41" s="202"/>
      <c r="U41" s="203"/>
      <c r="V41" s="33">
        <f t="shared" si="4"/>
        <v>50.02</v>
      </c>
      <c r="W41" s="24"/>
      <c r="X41" s="10"/>
    </row>
    <row r="42" spans="1:24" ht="15.75" customHeight="1" x14ac:dyDescent="0.25">
      <c r="A42" s="38">
        <v>37</v>
      </c>
      <c r="B42" s="68" t="s">
        <v>228</v>
      </c>
      <c r="C42" s="26">
        <v>99</v>
      </c>
      <c r="D42" s="8">
        <v>76</v>
      </c>
      <c r="E42" s="8">
        <v>66</v>
      </c>
      <c r="F42" s="8"/>
      <c r="G42" s="8"/>
      <c r="H42" s="8"/>
      <c r="I42" s="8">
        <v>40</v>
      </c>
      <c r="J42" s="15">
        <f t="shared" si="0"/>
        <v>61.04</v>
      </c>
      <c r="K42" s="8">
        <v>81</v>
      </c>
      <c r="L42" s="8">
        <v>81</v>
      </c>
      <c r="M42" s="15">
        <f t="shared" si="1"/>
        <v>8.1</v>
      </c>
      <c r="N42" s="8">
        <v>84</v>
      </c>
      <c r="O42" s="8">
        <v>84</v>
      </c>
      <c r="P42" s="15">
        <f t="shared" si="2"/>
        <v>8.4</v>
      </c>
      <c r="Q42" s="10"/>
      <c r="R42" s="201" t="str">
        <f t="shared" si="3"/>
        <v>BASICO</v>
      </c>
      <c r="S42" s="202"/>
      <c r="T42" s="202"/>
      <c r="U42" s="203"/>
      <c r="V42" s="33">
        <f t="shared" si="4"/>
        <v>77.540000000000006</v>
      </c>
      <c r="W42" s="24"/>
      <c r="X42" s="10"/>
    </row>
    <row r="43" spans="1:24" ht="15.75" customHeight="1" x14ac:dyDescent="0.25">
      <c r="A43" s="38">
        <v>38</v>
      </c>
      <c r="B43" s="67" t="s">
        <v>279</v>
      </c>
      <c r="C43" s="26">
        <v>50</v>
      </c>
      <c r="D43" s="8">
        <v>100</v>
      </c>
      <c r="E43" s="8">
        <v>59</v>
      </c>
      <c r="F43" s="8"/>
      <c r="G43" s="8"/>
      <c r="H43" s="8"/>
      <c r="I43" s="8">
        <v>40</v>
      </c>
      <c r="J43" s="15">
        <f t="shared" si="0"/>
        <v>53.360000000000007</v>
      </c>
      <c r="K43" s="8">
        <v>84</v>
      </c>
      <c r="L43" s="8">
        <v>84</v>
      </c>
      <c r="M43" s="15">
        <f t="shared" si="1"/>
        <v>8.4</v>
      </c>
      <c r="N43" s="8">
        <v>87</v>
      </c>
      <c r="O43" s="8">
        <v>87</v>
      </c>
      <c r="P43" s="15">
        <f t="shared" si="2"/>
        <v>8.7000000000000011</v>
      </c>
      <c r="Q43" s="10"/>
      <c r="R43" s="201" t="str">
        <f t="shared" si="3"/>
        <v>BASICO</v>
      </c>
      <c r="S43" s="202"/>
      <c r="T43" s="202"/>
      <c r="U43" s="203"/>
      <c r="V43" s="33">
        <f t="shared" si="4"/>
        <v>70.460000000000008</v>
      </c>
      <c r="W43" s="24"/>
      <c r="X43" s="10"/>
    </row>
    <row r="44" spans="1:24" ht="15.75" customHeight="1" x14ac:dyDescent="0.25">
      <c r="A44" s="38">
        <v>39</v>
      </c>
      <c r="B44" s="67" t="s">
        <v>230</v>
      </c>
      <c r="C44" s="26">
        <v>100</v>
      </c>
      <c r="D44" s="8">
        <v>100</v>
      </c>
      <c r="E44" s="8">
        <v>100</v>
      </c>
      <c r="F44" s="8"/>
      <c r="G44" s="8"/>
      <c r="H44" s="8"/>
      <c r="I44" s="8">
        <v>40</v>
      </c>
      <c r="J44" s="15">
        <f t="shared" si="0"/>
        <v>75.2</v>
      </c>
      <c r="K44" s="8">
        <v>65</v>
      </c>
      <c r="L44" s="8">
        <v>65</v>
      </c>
      <c r="M44" s="15">
        <f t="shared" si="1"/>
        <v>6.5</v>
      </c>
      <c r="N44" s="8">
        <v>65</v>
      </c>
      <c r="O44" s="8">
        <v>65</v>
      </c>
      <c r="P44" s="15">
        <f t="shared" si="2"/>
        <v>6.5</v>
      </c>
      <c r="Q44" s="10"/>
      <c r="R44" s="201" t="str">
        <f t="shared" si="3"/>
        <v>ALTO</v>
      </c>
      <c r="S44" s="202"/>
      <c r="T44" s="202"/>
      <c r="U44" s="203"/>
      <c r="V44" s="33">
        <f t="shared" si="4"/>
        <v>88.2</v>
      </c>
      <c r="W44" s="24"/>
      <c r="X44" s="10"/>
    </row>
    <row r="45" spans="1:24" ht="15.75" customHeight="1" x14ac:dyDescent="0.25">
      <c r="A45" s="38">
        <v>40</v>
      </c>
      <c r="B45" s="67"/>
      <c r="C45" s="26"/>
      <c r="D45" s="8"/>
      <c r="E45" s="8"/>
      <c r="F45" s="8"/>
      <c r="G45" s="8"/>
      <c r="H45" s="8"/>
      <c r="I45" s="8"/>
      <c r="J45" s="15" t="e">
        <f t="shared" si="0"/>
        <v>#DIV/0!</v>
      </c>
      <c r="K45" s="8"/>
      <c r="L45" s="8"/>
      <c r="M45" s="15" t="e">
        <f t="shared" si="1"/>
        <v>#DIV/0!</v>
      </c>
      <c r="N45" s="8"/>
      <c r="O45" s="8"/>
      <c r="P45" s="15" t="e">
        <f t="shared" si="2"/>
        <v>#DIV/0!</v>
      </c>
      <c r="Q45" s="10"/>
      <c r="R45" s="201" t="e">
        <f t="shared" si="3"/>
        <v>#DIV/0!</v>
      </c>
      <c r="S45" s="202"/>
      <c r="T45" s="202"/>
      <c r="U45" s="203"/>
      <c r="V45" s="33" t="e">
        <f t="shared" si="4"/>
        <v>#DIV/0!</v>
      </c>
      <c r="W45" s="24"/>
      <c r="X45" s="10"/>
    </row>
    <row r="46" spans="1:24" ht="15.75" customHeight="1" x14ac:dyDescent="0.25">
      <c r="A46" s="38">
        <v>41</v>
      </c>
      <c r="B46" s="67"/>
      <c r="C46" s="26"/>
      <c r="D46" s="8"/>
      <c r="E46" s="8"/>
      <c r="F46" s="8"/>
      <c r="G46" s="8"/>
      <c r="H46" s="8"/>
      <c r="I46" s="8"/>
      <c r="J46" s="15" t="e">
        <f t="shared" si="0"/>
        <v>#DIV/0!</v>
      </c>
      <c r="K46" s="8"/>
      <c r="L46" s="8"/>
      <c r="M46" s="15" t="e">
        <f t="shared" si="1"/>
        <v>#DIV/0!</v>
      </c>
      <c r="N46" s="8"/>
      <c r="O46" s="8"/>
      <c r="P46" s="15" t="e">
        <f t="shared" si="2"/>
        <v>#DIV/0!</v>
      </c>
      <c r="Q46" s="10"/>
      <c r="R46" s="201" t="e">
        <f t="shared" si="3"/>
        <v>#DIV/0!</v>
      </c>
      <c r="S46" s="202"/>
      <c r="T46" s="202"/>
      <c r="U46" s="203"/>
      <c r="V46" s="33" t="e">
        <f t="shared" si="4"/>
        <v>#DIV/0!</v>
      </c>
      <c r="W46" s="24"/>
      <c r="X46" s="10"/>
    </row>
    <row r="47" spans="1:24" ht="15.75" customHeight="1" x14ac:dyDescent="0.25">
      <c r="A47" s="38">
        <v>42</v>
      </c>
      <c r="B47" s="67"/>
      <c r="C47" s="26"/>
      <c r="D47" s="8"/>
      <c r="E47" s="8"/>
      <c r="F47" s="8"/>
      <c r="G47" s="8"/>
      <c r="H47" s="8"/>
      <c r="I47" s="8"/>
      <c r="J47" s="15" t="e">
        <f t="shared" si="0"/>
        <v>#DIV/0!</v>
      </c>
      <c r="K47" s="8"/>
      <c r="L47" s="8"/>
      <c r="M47" s="15" t="e">
        <f t="shared" si="1"/>
        <v>#DIV/0!</v>
      </c>
      <c r="N47" s="8"/>
      <c r="O47" s="8"/>
      <c r="P47" s="15" t="e">
        <f t="shared" si="2"/>
        <v>#DIV/0!</v>
      </c>
      <c r="Q47" s="10"/>
      <c r="R47" s="201" t="e">
        <f t="shared" si="3"/>
        <v>#DIV/0!</v>
      </c>
      <c r="S47" s="202"/>
      <c r="T47" s="202"/>
      <c r="U47" s="203"/>
      <c r="V47" s="33" t="e">
        <f t="shared" si="4"/>
        <v>#DIV/0!</v>
      </c>
      <c r="W47" s="24"/>
      <c r="X47" s="10"/>
    </row>
    <row r="48" spans="1:24" ht="15.75" customHeight="1" x14ac:dyDescent="0.25">
      <c r="A48" s="38">
        <v>43</v>
      </c>
      <c r="B48" s="75"/>
      <c r="C48" s="26"/>
      <c r="D48" s="8"/>
      <c r="E48" s="8"/>
      <c r="F48" s="8"/>
      <c r="G48" s="8"/>
      <c r="H48" s="8"/>
      <c r="I48" s="8"/>
      <c r="J48" s="15" t="e">
        <f t="shared" si="0"/>
        <v>#DIV/0!</v>
      </c>
      <c r="K48" s="8"/>
      <c r="L48" s="8"/>
      <c r="M48" s="15" t="e">
        <f t="shared" si="1"/>
        <v>#DIV/0!</v>
      </c>
      <c r="N48" s="8"/>
      <c r="O48" s="8"/>
      <c r="P48" s="15" t="e">
        <f t="shared" si="2"/>
        <v>#DIV/0!</v>
      </c>
      <c r="Q48" s="10"/>
      <c r="R48" s="201" t="e">
        <f t="shared" si="3"/>
        <v>#DIV/0!</v>
      </c>
      <c r="S48" s="202"/>
      <c r="T48" s="202"/>
      <c r="U48" s="203"/>
      <c r="V48" s="33" t="e">
        <f t="shared" si="4"/>
        <v>#DIV/0!</v>
      </c>
      <c r="W48" s="24"/>
      <c r="X48" s="10"/>
    </row>
    <row r="49" spans="1:24" ht="15.75" customHeight="1" x14ac:dyDescent="0.25">
      <c r="A49" s="38">
        <v>44</v>
      </c>
      <c r="B49" s="75"/>
      <c r="C49" s="26"/>
      <c r="D49" s="8"/>
      <c r="E49" s="8"/>
      <c r="F49" s="8"/>
      <c r="G49" s="8"/>
      <c r="H49" s="8"/>
      <c r="I49" s="8"/>
      <c r="J49" s="15" t="e">
        <f t="shared" si="0"/>
        <v>#DIV/0!</v>
      </c>
      <c r="K49" s="8"/>
      <c r="L49" s="8"/>
      <c r="M49" s="15" t="e">
        <f t="shared" si="1"/>
        <v>#DIV/0!</v>
      </c>
      <c r="N49" s="8"/>
      <c r="O49" s="8"/>
      <c r="P49" s="15" t="e">
        <f t="shared" si="2"/>
        <v>#DIV/0!</v>
      </c>
      <c r="Q49" s="10"/>
      <c r="R49" s="201" t="e">
        <f t="shared" si="3"/>
        <v>#DIV/0!</v>
      </c>
      <c r="S49" s="202"/>
      <c r="T49" s="202"/>
      <c r="U49" s="203"/>
      <c r="V49" s="33" t="e">
        <f t="shared" si="4"/>
        <v>#DIV/0!</v>
      </c>
      <c r="W49" s="24"/>
      <c r="X49" s="10"/>
    </row>
    <row r="50" spans="1:24" ht="15.75" customHeight="1" x14ac:dyDescent="0.25">
      <c r="A50" s="38">
        <v>45</v>
      </c>
      <c r="B50" s="75"/>
      <c r="C50" s="26"/>
      <c r="D50" s="8"/>
      <c r="E50" s="8"/>
      <c r="F50" s="8"/>
      <c r="G50" s="8"/>
      <c r="H50" s="8"/>
      <c r="I50" s="8"/>
      <c r="J50" s="15" t="e">
        <f t="shared" si="0"/>
        <v>#DIV/0!</v>
      </c>
      <c r="K50" s="8"/>
      <c r="L50" s="8"/>
      <c r="M50" s="15" t="e">
        <f t="shared" si="1"/>
        <v>#DIV/0!</v>
      </c>
      <c r="N50" s="8"/>
      <c r="O50" s="8"/>
      <c r="P50" s="15" t="e">
        <f t="shared" si="2"/>
        <v>#DIV/0!</v>
      </c>
      <c r="Q50" s="10"/>
      <c r="R50" s="201" t="e">
        <f t="shared" si="3"/>
        <v>#DIV/0!</v>
      </c>
      <c r="S50" s="202"/>
      <c r="T50" s="202"/>
      <c r="U50" s="203"/>
      <c r="V50" s="33" t="e">
        <f t="shared" si="4"/>
        <v>#DIV/0!</v>
      </c>
      <c r="W50" s="24"/>
      <c r="X50" s="10"/>
    </row>
    <row r="51" spans="1:24" ht="15.75" customHeight="1" thickBot="1" x14ac:dyDescent="0.3">
      <c r="A51" s="39">
        <v>46</v>
      </c>
      <c r="B51" s="98"/>
      <c r="C51" s="54"/>
      <c r="D51" s="47"/>
      <c r="E51" s="47"/>
      <c r="F51" s="47"/>
      <c r="G51" s="47"/>
      <c r="H51" s="47"/>
      <c r="I51" s="47"/>
      <c r="J51" s="48" t="e">
        <f t="shared" si="0"/>
        <v>#DIV/0!</v>
      </c>
      <c r="K51" s="47"/>
      <c r="L51" s="47"/>
      <c r="M51" s="48" t="e">
        <f t="shared" si="1"/>
        <v>#DIV/0!</v>
      </c>
      <c r="N51" s="47"/>
      <c r="O51" s="47"/>
      <c r="P51" s="48" t="e">
        <f t="shared" si="2"/>
        <v>#DIV/0!</v>
      </c>
      <c r="Q51" s="49"/>
      <c r="R51" s="330" t="e">
        <f t="shared" si="3"/>
        <v>#DIV/0!</v>
      </c>
      <c r="S51" s="331"/>
      <c r="T51" s="331"/>
      <c r="U51" s="332"/>
      <c r="V51" s="50" t="e">
        <f t="shared" si="4"/>
        <v>#DIV/0!</v>
      </c>
      <c r="W51" s="24"/>
      <c r="X51" s="10"/>
    </row>
    <row r="52" spans="1:24" ht="15.75" customHeight="1" x14ac:dyDescent="0.25">
      <c r="A52" s="263"/>
      <c r="B52" s="333"/>
      <c r="C52" s="257"/>
      <c r="D52" s="257"/>
      <c r="E52" s="267"/>
      <c r="F52" s="270"/>
      <c r="G52" s="270"/>
      <c r="H52" s="270"/>
      <c r="I52" s="270"/>
      <c r="J52" s="272"/>
      <c r="K52" s="272"/>
      <c r="L52" s="257"/>
      <c r="M52" s="259"/>
      <c r="N52" s="259"/>
      <c r="O52" s="259"/>
      <c r="P52" s="259"/>
      <c r="Q52" s="261"/>
      <c r="R52" s="277"/>
      <c r="S52" s="278"/>
      <c r="T52" s="279"/>
      <c r="U52" s="283"/>
      <c r="V52" s="284"/>
      <c r="W52" s="255"/>
      <c r="X52" s="181"/>
    </row>
    <row r="53" spans="1:24" ht="15.75" customHeight="1" x14ac:dyDescent="0.25">
      <c r="A53" s="264"/>
      <c r="B53" s="334"/>
      <c r="C53" s="205"/>
      <c r="D53" s="205"/>
      <c r="E53" s="210"/>
      <c r="F53" s="211"/>
      <c r="G53" s="211"/>
      <c r="H53" s="211"/>
      <c r="I53" s="211"/>
      <c r="J53" s="204"/>
      <c r="K53" s="204"/>
      <c r="L53" s="205"/>
      <c r="M53" s="185"/>
      <c r="N53" s="185"/>
      <c r="O53" s="185"/>
      <c r="P53" s="185"/>
      <c r="Q53" s="187"/>
      <c r="R53" s="188"/>
      <c r="S53" s="189"/>
      <c r="T53" s="190"/>
      <c r="U53" s="194"/>
      <c r="V53" s="285"/>
      <c r="W53" s="255"/>
      <c r="X53" s="181"/>
    </row>
    <row r="54" spans="1:24" ht="15.75" customHeight="1" x14ac:dyDescent="0.25">
      <c r="A54" s="264"/>
      <c r="B54" s="335"/>
      <c r="C54" s="205"/>
      <c r="D54" s="205"/>
      <c r="E54" s="210"/>
      <c r="F54" s="211"/>
      <c r="G54" s="211"/>
      <c r="H54" s="211"/>
      <c r="I54" s="211"/>
      <c r="J54" s="204"/>
      <c r="K54" s="204"/>
      <c r="L54" s="205"/>
      <c r="M54" s="185"/>
      <c r="N54" s="185"/>
      <c r="O54" s="185"/>
      <c r="P54" s="185"/>
      <c r="Q54" s="187"/>
      <c r="R54" s="188"/>
      <c r="S54" s="189"/>
      <c r="T54" s="190"/>
      <c r="U54" s="194"/>
      <c r="V54" s="285"/>
      <c r="W54" s="255"/>
      <c r="X54" s="181"/>
    </row>
    <row r="55" spans="1:24" ht="60" customHeight="1" thickBot="1" x14ac:dyDescent="0.3">
      <c r="A55" s="265"/>
      <c r="B55" s="336"/>
      <c r="C55" s="258"/>
      <c r="D55" s="258"/>
      <c r="E55" s="268"/>
      <c r="F55" s="271"/>
      <c r="G55" s="271"/>
      <c r="H55" s="271"/>
      <c r="I55" s="271"/>
      <c r="J55" s="273"/>
      <c r="K55" s="273"/>
      <c r="L55" s="258"/>
      <c r="M55" s="260"/>
      <c r="N55" s="260"/>
      <c r="O55" s="260"/>
      <c r="P55" s="260"/>
      <c r="Q55" s="289"/>
      <c r="R55" s="188"/>
      <c r="S55" s="189"/>
      <c r="T55" s="190"/>
      <c r="U55" s="194"/>
      <c r="V55" s="285"/>
      <c r="W55" s="255"/>
      <c r="X55" s="181"/>
    </row>
    <row r="56" spans="1:24" ht="87.75" customHeight="1" thickBot="1" x14ac:dyDescent="0.3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5"/>
      <c r="Q56" s="310"/>
      <c r="R56" s="228"/>
      <c r="S56" s="228"/>
      <c r="T56" s="228"/>
      <c r="U56" s="228"/>
      <c r="V56" s="228"/>
      <c r="W56" s="228"/>
      <c r="X56" s="229"/>
    </row>
    <row r="57" spans="1:24" ht="15.75" thickBot="1" x14ac:dyDescent="0.3">
      <c r="A57" s="296" t="s">
        <v>18</v>
      </c>
      <c r="B57" s="297"/>
      <c r="C57" s="298" t="s">
        <v>931</v>
      </c>
      <c r="D57" s="299"/>
      <c r="E57" s="299"/>
      <c r="F57" s="299"/>
      <c r="G57" s="299"/>
      <c r="H57" s="299"/>
      <c r="I57" s="300"/>
      <c r="J57" s="223" t="s">
        <v>20</v>
      </c>
      <c r="K57" s="224"/>
      <c r="L57" s="224"/>
      <c r="M57" s="224"/>
      <c r="N57" s="225"/>
      <c r="O57" s="225"/>
      <c r="P57" s="225"/>
      <c r="Q57" s="226"/>
      <c r="R57" s="227" t="s">
        <v>34</v>
      </c>
      <c r="S57" s="228"/>
      <c r="T57" s="228"/>
      <c r="U57" s="228"/>
      <c r="V57" s="228"/>
      <c r="W57" s="228"/>
      <c r="X57" s="229"/>
    </row>
    <row r="58" spans="1:24" ht="20.25" customHeight="1" x14ac:dyDescent="0.25">
      <c r="A58" s="230" t="s">
        <v>0</v>
      </c>
      <c r="B58" s="319" t="s">
        <v>1</v>
      </c>
      <c r="C58" s="235" t="s">
        <v>12</v>
      </c>
      <c r="D58" s="235"/>
      <c r="E58" s="235"/>
      <c r="F58" s="235"/>
      <c r="G58" s="235"/>
      <c r="H58" s="235"/>
      <c r="I58" s="235"/>
      <c r="J58" s="235"/>
      <c r="K58" s="236" t="s">
        <v>13</v>
      </c>
      <c r="L58" s="237"/>
      <c r="M58" s="237"/>
      <c r="N58" s="240" t="s">
        <v>15</v>
      </c>
      <c r="O58" s="240"/>
      <c r="P58" s="240"/>
      <c r="Q58" s="241" t="s">
        <v>4</v>
      </c>
      <c r="R58" s="244" t="s">
        <v>11</v>
      </c>
      <c r="S58" s="244"/>
      <c r="T58" s="244"/>
      <c r="U58" s="244"/>
      <c r="V58" s="244"/>
      <c r="W58" s="246" t="s">
        <v>2</v>
      </c>
      <c r="X58" s="247"/>
    </row>
    <row r="59" spans="1:24" ht="15" customHeight="1" x14ac:dyDescent="0.25">
      <c r="A59" s="231"/>
      <c r="B59" s="320"/>
      <c r="C59" s="248" t="s">
        <v>6</v>
      </c>
      <c r="D59" s="248" t="s">
        <v>17</v>
      </c>
      <c r="E59" s="248" t="s">
        <v>5</v>
      </c>
      <c r="F59" s="250"/>
      <c r="G59" s="250"/>
      <c r="H59" s="250"/>
      <c r="I59" s="251" t="s">
        <v>16</v>
      </c>
      <c r="J59" s="253" t="s">
        <v>14</v>
      </c>
      <c r="K59" s="238"/>
      <c r="L59" s="239"/>
      <c r="M59" s="239"/>
      <c r="N59" s="240"/>
      <c r="O59" s="240"/>
      <c r="P59" s="240"/>
      <c r="Q59" s="242"/>
      <c r="R59" s="245"/>
      <c r="S59" s="245"/>
      <c r="T59" s="245"/>
      <c r="U59" s="245"/>
      <c r="V59" s="245"/>
      <c r="W59" s="187"/>
      <c r="X59" s="187"/>
    </row>
    <row r="60" spans="1:24" ht="45" customHeight="1" thickBot="1" x14ac:dyDescent="0.3">
      <c r="A60" s="232"/>
      <c r="B60" s="320"/>
      <c r="C60" s="248"/>
      <c r="D60" s="248"/>
      <c r="E60" s="248"/>
      <c r="F60" s="248"/>
      <c r="G60" s="248"/>
      <c r="H60" s="248"/>
      <c r="I60" s="328"/>
      <c r="J60" s="329"/>
      <c r="K60" s="27" t="s">
        <v>9</v>
      </c>
      <c r="L60" s="27" t="s">
        <v>10</v>
      </c>
      <c r="M60" s="55" t="s">
        <v>3</v>
      </c>
      <c r="N60" s="27" t="s">
        <v>9</v>
      </c>
      <c r="O60" s="27" t="s">
        <v>10</v>
      </c>
      <c r="P60" s="56" t="s">
        <v>3</v>
      </c>
      <c r="Q60" s="321"/>
      <c r="R60" s="322" t="s">
        <v>7</v>
      </c>
      <c r="S60" s="323"/>
      <c r="T60" s="323"/>
      <c r="U60" s="324"/>
      <c r="V60" s="23" t="s">
        <v>8</v>
      </c>
      <c r="W60" s="5">
        <v>1</v>
      </c>
      <c r="X60" s="5">
        <v>2</v>
      </c>
    </row>
    <row r="61" spans="1:24" x14ac:dyDescent="0.25">
      <c r="A61" s="38">
        <v>1</v>
      </c>
      <c r="B61" s="69" t="s">
        <v>188</v>
      </c>
      <c r="C61" s="29">
        <v>59</v>
      </c>
      <c r="D61" s="30">
        <v>61</v>
      </c>
      <c r="E61" s="30">
        <v>92</v>
      </c>
      <c r="F61" s="30"/>
      <c r="G61" s="30"/>
      <c r="H61" s="30"/>
      <c r="I61" s="30">
        <v>85</v>
      </c>
      <c r="J61" s="31">
        <f>((AVERAGE(C61:H61))*72%)+I61*8%</f>
        <v>57.68</v>
      </c>
      <c r="K61" s="30">
        <v>88</v>
      </c>
      <c r="L61" s="30">
        <v>88</v>
      </c>
      <c r="M61" s="31">
        <f>(AVERAGE(K61:L61))*10%</f>
        <v>8.8000000000000007</v>
      </c>
      <c r="N61" s="30">
        <v>82</v>
      </c>
      <c r="O61" s="30">
        <v>82</v>
      </c>
      <c r="P61" s="31">
        <f>(AVERAGE(N61:O61))*10%</f>
        <v>8.2000000000000011</v>
      </c>
      <c r="Q61" s="30"/>
      <c r="R61" s="325" t="str">
        <f>IF(V61&lt;65,"BAJO",IF(V61&lt;=79,"BASICO",IF(V61&lt;=89,"ALTO",IF(V61&lt;=100,"SUPERIOR"))))</f>
        <v>BASICO</v>
      </c>
      <c r="S61" s="326"/>
      <c r="T61" s="326"/>
      <c r="U61" s="337"/>
      <c r="V61" s="51">
        <f>J61+M61+P61</f>
        <v>74.680000000000007</v>
      </c>
      <c r="W61" s="10"/>
      <c r="X61" s="10"/>
    </row>
    <row r="62" spans="1:24" x14ac:dyDescent="0.25">
      <c r="A62" s="38">
        <v>2</v>
      </c>
      <c r="B62" s="67" t="s">
        <v>189</v>
      </c>
      <c r="C62" s="26">
        <v>100</v>
      </c>
      <c r="D62" s="8">
        <v>85</v>
      </c>
      <c r="E62" s="8">
        <v>87</v>
      </c>
      <c r="F62" s="8"/>
      <c r="G62" s="8"/>
      <c r="H62" s="8"/>
      <c r="I62" s="9">
        <v>60</v>
      </c>
      <c r="J62" s="15">
        <f t="shared" ref="J62:J104" si="5">((AVERAGE(C62:H62))*72%)+I62*8%</f>
        <v>70.08</v>
      </c>
      <c r="K62" s="8">
        <v>98</v>
      </c>
      <c r="L62" s="8">
        <v>98</v>
      </c>
      <c r="M62" s="15">
        <f t="shared" ref="M62:M104" si="6">(AVERAGE(K62:L62))*10%</f>
        <v>9.8000000000000007</v>
      </c>
      <c r="N62" s="8">
        <v>100</v>
      </c>
      <c r="O62" s="8">
        <v>100</v>
      </c>
      <c r="P62" s="15">
        <f t="shared" ref="P62:P104" si="7">(AVERAGE(N62:O62))*10%</f>
        <v>10</v>
      </c>
      <c r="Q62" s="11"/>
      <c r="R62" s="201" t="str">
        <f t="shared" ref="R62:R104" si="8">IF(V62&lt;65,"BAJO",IF(V62&lt;=79,"BASICO",IF(V62&lt;=89,"ALTO",IF(V62&lt;=100,"SUPERIOR"))))</f>
        <v>SUPERIOR</v>
      </c>
      <c r="S62" s="202"/>
      <c r="T62" s="202"/>
      <c r="U62" s="338"/>
      <c r="V62" s="51">
        <f t="shared" ref="V62:V104" si="9">J62+M62+P62</f>
        <v>89.88</v>
      </c>
      <c r="W62" s="10"/>
      <c r="X62" s="10"/>
    </row>
    <row r="63" spans="1:24" x14ac:dyDescent="0.25">
      <c r="A63" s="38">
        <v>3</v>
      </c>
      <c r="B63" s="67" t="s">
        <v>157</v>
      </c>
      <c r="C63" s="26">
        <v>83</v>
      </c>
      <c r="D63" s="8">
        <v>90</v>
      </c>
      <c r="E63" s="8">
        <v>73</v>
      </c>
      <c r="F63" s="8"/>
      <c r="G63" s="8"/>
      <c r="H63" s="8"/>
      <c r="I63" s="9">
        <v>40</v>
      </c>
      <c r="J63" s="15">
        <f t="shared" si="5"/>
        <v>62.24</v>
      </c>
      <c r="K63" s="8">
        <v>89</v>
      </c>
      <c r="L63" s="8">
        <v>89</v>
      </c>
      <c r="M63" s="15">
        <f t="shared" si="6"/>
        <v>8.9</v>
      </c>
      <c r="N63" s="8">
        <v>84</v>
      </c>
      <c r="O63" s="8">
        <v>84</v>
      </c>
      <c r="P63" s="15">
        <f t="shared" si="7"/>
        <v>8.4</v>
      </c>
      <c r="Q63" s="11"/>
      <c r="R63" s="201" t="str">
        <f t="shared" si="8"/>
        <v>ALTO</v>
      </c>
      <c r="S63" s="202"/>
      <c r="T63" s="202"/>
      <c r="U63" s="338"/>
      <c r="V63" s="51">
        <f t="shared" si="9"/>
        <v>79.540000000000006</v>
      </c>
      <c r="W63" s="10"/>
      <c r="X63" s="10"/>
    </row>
    <row r="64" spans="1:24" x14ac:dyDescent="0.25">
      <c r="A64" s="38">
        <v>4</v>
      </c>
      <c r="B64" s="118" t="s">
        <v>416</v>
      </c>
      <c r="C64" s="26">
        <v>34</v>
      </c>
      <c r="D64" s="8">
        <v>98</v>
      </c>
      <c r="E64" s="8">
        <v>99</v>
      </c>
      <c r="F64" s="8"/>
      <c r="G64" s="8"/>
      <c r="H64" s="8"/>
      <c r="I64" s="8">
        <v>40</v>
      </c>
      <c r="J64" s="15">
        <f t="shared" si="5"/>
        <v>58.64</v>
      </c>
      <c r="K64" s="8">
        <v>89</v>
      </c>
      <c r="L64" s="8">
        <v>89</v>
      </c>
      <c r="M64" s="15">
        <f t="shared" si="6"/>
        <v>8.9</v>
      </c>
      <c r="N64" s="8">
        <v>99</v>
      </c>
      <c r="O64" s="8">
        <v>99</v>
      </c>
      <c r="P64" s="15">
        <f t="shared" si="7"/>
        <v>9.9</v>
      </c>
      <c r="Q64" s="11"/>
      <c r="R64" s="201" t="str">
        <f t="shared" si="8"/>
        <v>BASICO</v>
      </c>
      <c r="S64" s="202"/>
      <c r="T64" s="202"/>
      <c r="U64" s="338"/>
      <c r="V64" s="51">
        <f t="shared" si="9"/>
        <v>77.440000000000012</v>
      </c>
      <c r="W64" s="10"/>
      <c r="X64" s="10"/>
    </row>
    <row r="65" spans="1:24" x14ac:dyDescent="0.25">
      <c r="A65" s="38">
        <v>5</v>
      </c>
      <c r="B65" s="125" t="s">
        <v>420</v>
      </c>
      <c r="C65" s="26">
        <v>56</v>
      </c>
      <c r="D65" s="8">
        <v>49</v>
      </c>
      <c r="E65" s="8">
        <v>93</v>
      </c>
      <c r="F65" s="8"/>
      <c r="G65" s="8"/>
      <c r="H65" s="8"/>
      <c r="I65" s="8">
        <v>0</v>
      </c>
      <c r="J65" s="15">
        <f t="shared" si="5"/>
        <v>47.519999999999996</v>
      </c>
      <c r="K65" s="8">
        <v>92</v>
      </c>
      <c r="L65" s="8">
        <v>92</v>
      </c>
      <c r="M65" s="15">
        <f t="shared" si="6"/>
        <v>9.2000000000000011</v>
      </c>
      <c r="N65" s="8">
        <v>80</v>
      </c>
      <c r="O65" s="8">
        <v>80</v>
      </c>
      <c r="P65" s="15">
        <f t="shared" si="7"/>
        <v>8</v>
      </c>
      <c r="Q65" s="10"/>
      <c r="R65" s="201" t="str">
        <f t="shared" si="8"/>
        <v>BAJO</v>
      </c>
      <c r="S65" s="202"/>
      <c r="T65" s="202"/>
      <c r="U65" s="338"/>
      <c r="V65" s="51">
        <f t="shared" si="9"/>
        <v>64.72</v>
      </c>
      <c r="W65" s="10"/>
      <c r="X65" s="10"/>
    </row>
    <row r="66" spans="1:24" x14ac:dyDescent="0.25">
      <c r="A66" s="38">
        <v>6</v>
      </c>
      <c r="B66" s="67" t="s">
        <v>250</v>
      </c>
      <c r="C66" s="26">
        <v>100</v>
      </c>
      <c r="D66" s="8">
        <v>100</v>
      </c>
      <c r="E66" s="8">
        <v>100</v>
      </c>
      <c r="F66" s="8"/>
      <c r="G66" s="8"/>
      <c r="H66" s="8"/>
      <c r="I66" s="8">
        <v>67</v>
      </c>
      <c r="J66" s="15">
        <f t="shared" si="5"/>
        <v>77.36</v>
      </c>
      <c r="K66" s="8">
        <v>65</v>
      </c>
      <c r="L66" s="8">
        <v>65</v>
      </c>
      <c r="M66" s="15">
        <f t="shared" si="6"/>
        <v>6.5</v>
      </c>
      <c r="N66" s="8">
        <v>65</v>
      </c>
      <c r="O66" s="8">
        <v>65</v>
      </c>
      <c r="P66" s="15">
        <f t="shared" si="7"/>
        <v>6.5</v>
      </c>
      <c r="Q66" s="10"/>
      <c r="R66" s="201" t="str">
        <f t="shared" si="8"/>
        <v>SUPERIOR</v>
      </c>
      <c r="S66" s="202"/>
      <c r="T66" s="202"/>
      <c r="U66" s="338"/>
      <c r="V66" s="51">
        <f t="shared" si="9"/>
        <v>90.36</v>
      </c>
      <c r="W66" s="10"/>
      <c r="X66" s="10"/>
    </row>
    <row r="67" spans="1:24" x14ac:dyDescent="0.25">
      <c r="A67" s="38">
        <v>7</v>
      </c>
      <c r="B67" s="67" t="s">
        <v>192</v>
      </c>
      <c r="C67" s="26">
        <v>100</v>
      </c>
      <c r="D67" s="8">
        <v>100</v>
      </c>
      <c r="E67" s="8">
        <v>100</v>
      </c>
      <c r="F67" s="8"/>
      <c r="G67" s="8"/>
      <c r="H67" s="8"/>
      <c r="I67" s="8">
        <v>40</v>
      </c>
      <c r="J67" s="15">
        <f t="shared" si="5"/>
        <v>75.2</v>
      </c>
      <c r="K67" s="8">
        <v>65</v>
      </c>
      <c r="L67" s="8">
        <v>65</v>
      </c>
      <c r="M67" s="15">
        <f t="shared" si="6"/>
        <v>6.5</v>
      </c>
      <c r="N67" s="8">
        <v>65</v>
      </c>
      <c r="O67" s="8">
        <v>65</v>
      </c>
      <c r="P67" s="15">
        <f t="shared" si="7"/>
        <v>6.5</v>
      </c>
      <c r="Q67" s="10"/>
      <c r="R67" s="201" t="str">
        <f t="shared" si="8"/>
        <v>ALTO</v>
      </c>
      <c r="S67" s="202"/>
      <c r="T67" s="202"/>
      <c r="U67" s="338"/>
      <c r="V67" s="51">
        <f t="shared" si="9"/>
        <v>88.2</v>
      </c>
      <c r="W67" s="10"/>
      <c r="X67" s="10"/>
    </row>
    <row r="68" spans="1:24" x14ac:dyDescent="0.25">
      <c r="A68" s="38">
        <v>8</v>
      </c>
      <c r="B68" s="67" t="s">
        <v>267</v>
      </c>
      <c r="C68" s="26">
        <v>41</v>
      </c>
      <c r="D68" s="8">
        <v>87</v>
      </c>
      <c r="E68" s="8">
        <v>76</v>
      </c>
      <c r="F68" s="8"/>
      <c r="G68" s="8"/>
      <c r="H68" s="8"/>
      <c r="I68" s="8">
        <v>40</v>
      </c>
      <c r="J68" s="15">
        <f t="shared" si="5"/>
        <v>52.160000000000004</v>
      </c>
      <c r="K68" s="8">
        <v>85</v>
      </c>
      <c r="L68" s="8">
        <v>85</v>
      </c>
      <c r="M68" s="15">
        <f t="shared" si="6"/>
        <v>8.5</v>
      </c>
      <c r="N68" s="8">
        <v>95</v>
      </c>
      <c r="O68" s="8">
        <v>95</v>
      </c>
      <c r="P68" s="15">
        <f t="shared" si="7"/>
        <v>9.5</v>
      </c>
      <c r="Q68" s="10"/>
      <c r="R68" s="201" t="str">
        <f t="shared" si="8"/>
        <v>BASICO</v>
      </c>
      <c r="S68" s="202"/>
      <c r="T68" s="202"/>
      <c r="U68" s="338"/>
      <c r="V68" s="51">
        <f t="shared" si="9"/>
        <v>70.16</v>
      </c>
      <c r="W68" s="10"/>
      <c r="X68" s="10"/>
    </row>
    <row r="69" spans="1:24" x14ac:dyDescent="0.25">
      <c r="A69" s="38">
        <v>9</v>
      </c>
      <c r="B69" s="67" t="s">
        <v>797</v>
      </c>
      <c r="C69" s="26">
        <v>100</v>
      </c>
      <c r="D69" s="8">
        <v>100</v>
      </c>
      <c r="E69" s="8">
        <v>100</v>
      </c>
      <c r="F69" s="8"/>
      <c r="G69" s="8"/>
      <c r="H69" s="8"/>
      <c r="I69" s="8">
        <v>60</v>
      </c>
      <c r="J69" s="15">
        <f t="shared" si="5"/>
        <v>76.8</v>
      </c>
      <c r="K69" s="8">
        <v>65</v>
      </c>
      <c r="L69" s="8">
        <v>65</v>
      </c>
      <c r="M69" s="15">
        <f t="shared" si="6"/>
        <v>6.5</v>
      </c>
      <c r="N69" s="8">
        <v>65</v>
      </c>
      <c r="O69" s="8">
        <v>65</v>
      </c>
      <c r="P69" s="15">
        <f t="shared" si="7"/>
        <v>6.5</v>
      </c>
      <c r="Q69" s="10"/>
      <c r="R69" s="201" t="str">
        <f t="shared" si="8"/>
        <v>SUPERIOR</v>
      </c>
      <c r="S69" s="202"/>
      <c r="T69" s="202"/>
      <c r="U69" s="338"/>
      <c r="V69" s="51">
        <f t="shared" si="9"/>
        <v>89.8</v>
      </c>
      <c r="W69" s="10"/>
      <c r="X69" s="10"/>
    </row>
    <row r="70" spans="1:24" x14ac:dyDescent="0.25">
      <c r="A70" s="38">
        <v>10</v>
      </c>
      <c r="B70" s="67" t="s">
        <v>193</v>
      </c>
      <c r="C70" s="26">
        <v>99</v>
      </c>
      <c r="D70" s="8">
        <v>83</v>
      </c>
      <c r="E70" s="8">
        <v>70</v>
      </c>
      <c r="F70" s="8"/>
      <c r="G70" s="8"/>
      <c r="H70" s="8"/>
      <c r="I70" s="8">
        <v>40</v>
      </c>
      <c r="J70" s="15">
        <f t="shared" si="5"/>
        <v>63.68</v>
      </c>
      <c r="K70" s="8">
        <v>85</v>
      </c>
      <c r="L70" s="8">
        <v>85</v>
      </c>
      <c r="M70" s="15">
        <f t="shared" si="6"/>
        <v>8.5</v>
      </c>
      <c r="N70" s="8">
        <v>81</v>
      </c>
      <c r="O70" s="8">
        <v>81</v>
      </c>
      <c r="P70" s="15">
        <f t="shared" si="7"/>
        <v>8.1</v>
      </c>
      <c r="Q70" s="10"/>
      <c r="R70" s="201" t="str">
        <f t="shared" si="8"/>
        <v>ALTO</v>
      </c>
      <c r="S70" s="202"/>
      <c r="T70" s="202"/>
      <c r="U70" s="338"/>
      <c r="V70" s="51">
        <f t="shared" si="9"/>
        <v>80.28</v>
      </c>
      <c r="W70" s="10"/>
      <c r="X70" s="10"/>
    </row>
    <row r="71" spans="1:24" x14ac:dyDescent="0.25">
      <c r="A71" s="38">
        <v>11</v>
      </c>
      <c r="B71" s="67" t="s">
        <v>195</v>
      </c>
      <c r="C71" s="26">
        <v>87</v>
      </c>
      <c r="D71" s="8">
        <v>61</v>
      </c>
      <c r="E71" s="8">
        <v>78</v>
      </c>
      <c r="F71" s="8"/>
      <c r="G71" s="8"/>
      <c r="H71" s="8"/>
      <c r="I71" s="8">
        <v>67</v>
      </c>
      <c r="J71" s="15">
        <f t="shared" si="5"/>
        <v>59.599999999999994</v>
      </c>
      <c r="K71" s="8">
        <v>84</v>
      </c>
      <c r="L71" s="8">
        <v>84</v>
      </c>
      <c r="M71" s="15">
        <f t="shared" si="6"/>
        <v>8.4</v>
      </c>
      <c r="N71" s="8">
        <v>99</v>
      </c>
      <c r="O71" s="8">
        <v>99</v>
      </c>
      <c r="P71" s="15">
        <f t="shared" si="7"/>
        <v>9.9</v>
      </c>
      <c r="Q71" s="10"/>
      <c r="R71" s="201" t="str">
        <f t="shared" si="8"/>
        <v>BASICO</v>
      </c>
      <c r="S71" s="202"/>
      <c r="T71" s="202"/>
      <c r="U71" s="338"/>
      <c r="V71" s="51">
        <f t="shared" si="9"/>
        <v>77.900000000000006</v>
      </c>
      <c r="W71" s="10"/>
      <c r="X71" s="10"/>
    </row>
    <row r="72" spans="1:24" x14ac:dyDescent="0.25">
      <c r="A72" s="38">
        <v>12</v>
      </c>
      <c r="B72" s="67" t="s">
        <v>253</v>
      </c>
      <c r="C72" s="26"/>
      <c r="D72" s="8"/>
      <c r="E72" s="8"/>
      <c r="F72" s="8"/>
      <c r="G72" s="8"/>
      <c r="H72" s="8"/>
      <c r="I72" s="8">
        <v>0</v>
      </c>
      <c r="J72" s="15" t="e">
        <f t="shared" si="5"/>
        <v>#DIV/0!</v>
      </c>
      <c r="K72" s="8"/>
      <c r="L72" s="8"/>
      <c r="M72" s="15" t="e">
        <f t="shared" si="6"/>
        <v>#DIV/0!</v>
      </c>
      <c r="N72" s="8"/>
      <c r="O72" s="8"/>
      <c r="P72" s="15" t="e">
        <f t="shared" si="7"/>
        <v>#DIV/0!</v>
      </c>
      <c r="Q72" s="10"/>
      <c r="R72" s="201" t="e">
        <f t="shared" si="8"/>
        <v>#DIV/0!</v>
      </c>
      <c r="S72" s="202"/>
      <c r="T72" s="202"/>
      <c r="U72" s="338"/>
      <c r="V72" s="51" t="e">
        <f t="shared" si="9"/>
        <v>#DIV/0!</v>
      </c>
      <c r="W72" s="10"/>
      <c r="X72" s="10"/>
    </row>
    <row r="73" spans="1:24" x14ac:dyDescent="0.25">
      <c r="A73" s="38">
        <v>13</v>
      </c>
      <c r="B73" s="67" t="s">
        <v>798</v>
      </c>
      <c r="C73" s="26">
        <v>94</v>
      </c>
      <c r="D73" s="8">
        <v>87</v>
      </c>
      <c r="E73" s="8">
        <v>62</v>
      </c>
      <c r="F73" s="8"/>
      <c r="G73" s="8"/>
      <c r="H73" s="8"/>
      <c r="I73" s="8">
        <v>67</v>
      </c>
      <c r="J73" s="15">
        <f t="shared" si="5"/>
        <v>63.68</v>
      </c>
      <c r="K73" s="8">
        <v>82</v>
      </c>
      <c r="L73" s="8">
        <v>82</v>
      </c>
      <c r="M73" s="15">
        <f t="shared" si="6"/>
        <v>8.2000000000000011</v>
      </c>
      <c r="N73" s="8">
        <v>82</v>
      </c>
      <c r="O73" s="8">
        <v>82</v>
      </c>
      <c r="P73" s="15">
        <f t="shared" si="7"/>
        <v>8.2000000000000011</v>
      </c>
      <c r="Q73" s="10"/>
      <c r="R73" s="201" t="str">
        <f t="shared" si="8"/>
        <v>ALTO</v>
      </c>
      <c r="S73" s="202"/>
      <c r="T73" s="202"/>
      <c r="U73" s="338"/>
      <c r="V73" s="51">
        <f t="shared" si="9"/>
        <v>80.08</v>
      </c>
      <c r="W73" s="10"/>
      <c r="X73" s="10"/>
    </row>
    <row r="74" spans="1:24" x14ac:dyDescent="0.25">
      <c r="A74" s="38">
        <v>14</v>
      </c>
      <c r="B74" s="67" t="s">
        <v>272</v>
      </c>
      <c r="C74" s="26">
        <v>100</v>
      </c>
      <c r="D74" s="8">
        <v>100</v>
      </c>
      <c r="E74" s="8">
        <v>100</v>
      </c>
      <c r="F74" s="8"/>
      <c r="G74" s="8"/>
      <c r="H74" s="8"/>
      <c r="I74" s="8">
        <v>40</v>
      </c>
      <c r="J74" s="15">
        <f t="shared" si="5"/>
        <v>75.2</v>
      </c>
      <c r="K74" s="8">
        <v>65</v>
      </c>
      <c r="L74" s="8">
        <v>65</v>
      </c>
      <c r="M74" s="15">
        <f t="shared" si="6"/>
        <v>6.5</v>
      </c>
      <c r="N74" s="8">
        <v>65</v>
      </c>
      <c r="O74" s="8">
        <v>65</v>
      </c>
      <c r="P74" s="15">
        <f t="shared" si="7"/>
        <v>6.5</v>
      </c>
      <c r="Q74" s="10"/>
      <c r="R74" s="201" t="str">
        <f t="shared" si="8"/>
        <v>ALTO</v>
      </c>
      <c r="S74" s="202"/>
      <c r="T74" s="202"/>
      <c r="U74" s="338"/>
      <c r="V74" s="51">
        <f t="shared" si="9"/>
        <v>88.2</v>
      </c>
      <c r="W74" s="10"/>
      <c r="X74" s="10"/>
    </row>
    <row r="75" spans="1:24" x14ac:dyDescent="0.25">
      <c r="A75" s="38">
        <v>15</v>
      </c>
      <c r="B75" s="67" t="s">
        <v>196</v>
      </c>
      <c r="C75" s="26">
        <v>74</v>
      </c>
      <c r="D75" s="8">
        <v>27</v>
      </c>
      <c r="E75" s="8">
        <v>69</v>
      </c>
      <c r="F75" s="8"/>
      <c r="G75" s="8"/>
      <c r="H75" s="8"/>
      <c r="I75" s="8">
        <v>95</v>
      </c>
      <c r="J75" s="15">
        <f t="shared" si="5"/>
        <v>48.4</v>
      </c>
      <c r="K75" s="8">
        <v>84</v>
      </c>
      <c r="L75" s="8">
        <v>84</v>
      </c>
      <c r="M75" s="15">
        <f t="shared" si="6"/>
        <v>8.4</v>
      </c>
      <c r="N75" s="8">
        <v>90</v>
      </c>
      <c r="O75" s="8">
        <v>90</v>
      </c>
      <c r="P75" s="15">
        <f t="shared" si="7"/>
        <v>9</v>
      </c>
      <c r="Q75" s="10"/>
      <c r="R75" s="201" t="str">
        <f t="shared" si="8"/>
        <v>BASICO</v>
      </c>
      <c r="S75" s="202"/>
      <c r="T75" s="202"/>
      <c r="U75" s="338"/>
      <c r="V75" s="51">
        <f t="shared" si="9"/>
        <v>65.8</v>
      </c>
      <c r="W75" s="10"/>
      <c r="X75" s="10"/>
    </row>
    <row r="76" spans="1:24" ht="15.75" customHeight="1" x14ac:dyDescent="0.25">
      <c r="A76" s="38">
        <v>16</v>
      </c>
      <c r="B76" s="67" t="s">
        <v>197</v>
      </c>
      <c r="C76" s="26">
        <v>59</v>
      </c>
      <c r="D76" s="8">
        <v>23</v>
      </c>
      <c r="E76" s="8">
        <v>80</v>
      </c>
      <c r="F76" s="8"/>
      <c r="G76" s="8"/>
      <c r="H76" s="8"/>
      <c r="I76" s="8">
        <v>60</v>
      </c>
      <c r="J76" s="15">
        <f t="shared" si="5"/>
        <v>43.679999999999993</v>
      </c>
      <c r="K76" s="8">
        <v>94</v>
      </c>
      <c r="L76" s="8">
        <v>94</v>
      </c>
      <c r="M76" s="15">
        <f t="shared" si="6"/>
        <v>9.4</v>
      </c>
      <c r="N76" s="8">
        <v>91</v>
      </c>
      <c r="O76" s="8">
        <v>91</v>
      </c>
      <c r="P76" s="15">
        <f t="shared" si="7"/>
        <v>9.1</v>
      </c>
      <c r="Q76" s="10"/>
      <c r="R76" s="201" t="str">
        <f t="shared" si="8"/>
        <v>BAJO</v>
      </c>
      <c r="S76" s="202"/>
      <c r="T76" s="202"/>
      <c r="U76" s="338"/>
      <c r="V76" s="51">
        <f t="shared" si="9"/>
        <v>62.179999999999993</v>
      </c>
      <c r="W76" s="10"/>
      <c r="X76" s="10"/>
    </row>
    <row r="77" spans="1:24" ht="15.75" customHeight="1" x14ac:dyDescent="0.25">
      <c r="A77" s="38">
        <v>17</v>
      </c>
      <c r="B77" s="67" t="s">
        <v>255</v>
      </c>
      <c r="C77" s="26">
        <v>23</v>
      </c>
      <c r="D77" s="8">
        <v>46</v>
      </c>
      <c r="E77" s="8">
        <v>100</v>
      </c>
      <c r="F77" s="8"/>
      <c r="G77" s="8"/>
      <c r="H77" s="8"/>
      <c r="I77" s="13">
        <v>40</v>
      </c>
      <c r="J77" s="15">
        <f t="shared" si="5"/>
        <v>43.760000000000005</v>
      </c>
      <c r="K77" s="8">
        <v>94</v>
      </c>
      <c r="L77" s="8">
        <v>94</v>
      </c>
      <c r="M77" s="15">
        <f t="shared" si="6"/>
        <v>9.4</v>
      </c>
      <c r="N77" s="8">
        <v>98</v>
      </c>
      <c r="O77" s="8">
        <v>98</v>
      </c>
      <c r="P77" s="15">
        <f t="shared" si="7"/>
        <v>9.8000000000000007</v>
      </c>
      <c r="Q77" s="10"/>
      <c r="R77" s="201" t="str">
        <f t="shared" si="8"/>
        <v>BAJO</v>
      </c>
      <c r="S77" s="202"/>
      <c r="T77" s="202"/>
      <c r="U77" s="338"/>
      <c r="V77" s="51">
        <f t="shared" si="9"/>
        <v>62.960000000000008</v>
      </c>
      <c r="W77" s="10"/>
      <c r="X77" s="10"/>
    </row>
    <row r="78" spans="1:24" ht="15.75" customHeight="1" x14ac:dyDescent="0.25">
      <c r="A78" s="38">
        <v>18</v>
      </c>
      <c r="B78" s="67" t="s">
        <v>274</v>
      </c>
      <c r="C78" s="26">
        <v>86</v>
      </c>
      <c r="D78" s="8">
        <v>66</v>
      </c>
      <c r="E78" s="8">
        <v>79</v>
      </c>
      <c r="F78" s="8"/>
      <c r="G78" s="8"/>
      <c r="H78" s="8"/>
      <c r="I78" s="8">
        <v>40</v>
      </c>
      <c r="J78" s="15">
        <f t="shared" si="5"/>
        <v>58.64</v>
      </c>
      <c r="K78" s="8">
        <v>72</v>
      </c>
      <c r="L78" s="8">
        <v>72</v>
      </c>
      <c r="M78" s="15">
        <f t="shared" si="6"/>
        <v>7.2</v>
      </c>
      <c r="N78" s="8">
        <v>88</v>
      </c>
      <c r="O78" s="8">
        <v>88</v>
      </c>
      <c r="P78" s="15">
        <f t="shared" si="7"/>
        <v>8.8000000000000007</v>
      </c>
      <c r="Q78" s="10"/>
      <c r="R78" s="201" t="str">
        <f t="shared" si="8"/>
        <v>BASICO</v>
      </c>
      <c r="S78" s="202"/>
      <c r="T78" s="202"/>
      <c r="U78" s="338"/>
      <c r="V78" s="51">
        <f t="shared" si="9"/>
        <v>74.64</v>
      </c>
      <c r="W78" s="10"/>
      <c r="X78" s="10"/>
    </row>
    <row r="79" spans="1:24" ht="15.75" customHeight="1" x14ac:dyDescent="0.25">
      <c r="A79" s="38">
        <v>19</v>
      </c>
      <c r="B79" s="67" t="s">
        <v>198</v>
      </c>
      <c r="C79" s="26">
        <v>100</v>
      </c>
      <c r="D79" s="8">
        <v>100</v>
      </c>
      <c r="E79" s="8">
        <v>100</v>
      </c>
      <c r="F79" s="8"/>
      <c r="G79" s="8"/>
      <c r="H79" s="8"/>
      <c r="I79" s="8">
        <v>70</v>
      </c>
      <c r="J79" s="15">
        <f t="shared" si="5"/>
        <v>77.599999999999994</v>
      </c>
      <c r="K79" s="8">
        <v>65</v>
      </c>
      <c r="L79" s="8">
        <v>65</v>
      </c>
      <c r="M79" s="15">
        <f t="shared" si="6"/>
        <v>6.5</v>
      </c>
      <c r="N79" s="8">
        <v>65</v>
      </c>
      <c r="O79" s="8">
        <v>65</v>
      </c>
      <c r="P79" s="15">
        <f t="shared" si="7"/>
        <v>6.5</v>
      </c>
      <c r="Q79" s="10"/>
      <c r="R79" s="201" t="str">
        <f t="shared" si="8"/>
        <v>SUPERIOR</v>
      </c>
      <c r="S79" s="202"/>
      <c r="T79" s="202"/>
      <c r="U79" s="338"/>
      <c r="V79" s="51">
        <f t="shared" si="9"/>
        <v>90.6</v>
      </c>
      <c r="W79" s="10"/>
      <c r="X79" s="10"/>
    </row>
    <row r="80" spans="1:24" ht="15.75" customHeight="1" x14ac:dyDescent="0.25">
      <c r="A80" s="38">
        <v>20</v>
      </c>
      <c r="B80" s="67" t="s">
        <v>256</v>
      </c>
      <c r="C80" s="26">
        <v>42</v>
      </c>
      <c r="D80" s="8">
        <v>92</v>
      </c>
      <c r="E80" s="8">
        <v>61</v>
      </c>
      <c r="F80" s="8"/>
      <c r="G80" s="8"/>
      <c r="H80" s="8"/>
      <c r="I80" s="8">
        <v>40</v>
      </c>
      <c r="J80" s="15">
        <f t="shared" si="5"/>
        <v>50</v>
      </c>
      <c r="K80" s="8">
        <v>76</v>
      </c>
      <c r="L80" s="8">
        <v>76</v>
      </c>
      <c r="M80" s="15">
        <f t="shared" si="6"/>
        <v>7.6000000000000005</v>
      </c>
      <c r="N80" s="8">
        <v>90</v>
      </c>
      <c r="O80" s="8">
        <v>90</v>
      </c>
      <c r="P80" s="15">
        <f t="shared" si="7"/>
        <v>9</v>
      </c>
      <c r="Q80" s="10"/>
      <c r="R80" s="201" t="str">
        <f t="shared" si="8"/>
        <v>BASICO</v>
      </c>
      <c r="S80" s="202"/>
      <c r="T80" s="202"/>
      <c r="U80" s="338"/>
      <c r="V80" s="51">
        <f t="shared" si="9"/>
        <v>66.599999999999994</v>
      </c>
      <c r="W80" s="10"/>
      <c r="X80" s="10"/>
    </row>
    <row r="81" spans="1:24" ht="15.75" customHeight="1" x14ac:dyDescent="0.25">
      <c r="A81" s="38">
        <v>21</v>
      </c>
      <c r="B81" s="67" t="s">
        <v>915</v>
      </c>
      <c r="C81" s="26">
        <v>71</v>
      </c>
      <c r="D81" s="8">
        <v>92</v>
      </c>
      <c r="E81" s="8">
        <v>65</v>
      </c>
      <c r="F81" s="8"/>
      <c r="G81" s="8"/>
      <c r="H81" s="8"/>
      <c r="I81" s="8">
        <v>80</v>
      </c>
      <c r="J81" s="15">
        <f t="shared" si="5"/>
        <v>61.12</v>
      </c>
      <c r="K81" s="8">
        <v>99</v>
      </c>
      <c r="L81" s="8">
        <v>99</v>
      </c>
      <c r="M81" s="15">
        <f t="shared" si="6"/>
        <v>9.9</v>
      </c>
      <c r="N81" s="8">
        <v>90</v>
      </c>
      <c r="O81" s="8">
        <v>90</v>
      </c>
      <c r="P81" s="15">
        <f t="shared" si="7"/>
        <v>9</v>
      </c>
      <c r="Q81" s="10"/>
      <c r="R81" s="201" t="str">
        <f t="shared" si="8"/>
        <v>ALTO</v>
      </c>
      <c r="S81" s="202"/>
      <c r="T81" s="202"/>
      <c r="U81" s="338"/>
      <c r="V81" s="51">
        <f t="shared" si="9"/>
        <v>80.02</v>
      </c>
      <c r="W81" s="10"/>
      <c r="X81" s="10"/>
    </row>
    <row r="82" spans="1:24" ht="15.75" customHeight="1" x14ac:dyDescent="0.25">
      <c r="A82" s="38">
        <v>22</v>
      </c>
      <c r="B82" s="67" t="s">
        <v>799</v>
      </c>
      <c r="C82" s="26">
        <v>75</v>
      </c>
      <c r="D82" s="8">
        <v>81</v>
      </c>
      <c r="E82" s="8">
        <v>62</v>
      </c>
      <c r="F82" s="8"/>
      <c r="G82" s="8"/>
      <c r="H82" s="8"/>
      <c r="I82" s="8">
        <v>60</v>
      </c>
      <c r="J82" s="15">
        <f t="shared" si="5"/>
        <v>57.12</v>
      </c>
      <c r="K82" s="8">
        <v>84</v>
      </c>
      <c r="L82" s="8">
        <v>84</v>
      </c>
      <c r="M82" s="15">
        <f t="shared" si="6"/>
        <v>8.4</v>
      </c>
      <c r="N82" s="8">
        <v>95</v>
      </c>
      <c r="O82" s="8">
        <v>95</v>
      </c>
      <c r="P82" s="15">
        <f t="shared" si="7"/>
        <v>9.5</v>
      </c>
      <c r="Q82" s="10"/>
      <c r="R82" s="201" t="str">
        <f t="shared" si="8"/>
        <v>BASICO</v>
      </c>
      <c r="S82" s="202"/>
      <c r="T82" s="202"/>
      <c r="U82" s="338"/>
      <c r="V82" s="51">
        <f t="shared" si="9"/>
        <v>75.02</v>
      </c>
      <c r="W82" s="10"/>
      <c r="X82" s="10"/>
    </row>
    <row r="83" spans="1:24" ht="15.75" customHeight="1" x14ac:dyDescent="0.25">
      <c r="A83" s="38">
        <v>23</v>
      </c>
      <c r="B83" s="67" t="s">
        <v>199</v>
      </c>
      <c r="C83" s="26">
        <v>62</v>
      </c>
      <c r="D83" s="8">
        <v>95</v>
      </c>
      <c r="E83" s="8">
        <v>36</v>
      </c>
      <c r="F83" s="8"/>
      <c r="G83" s="8"/>
      <c r="H83" s="8"/>
      <c r="I83" s="8">
        <v>60</v>
      </c>
      <c r="J83" s="15">
        <f t="shared" si="5"/>
        <v>51.11999999999999</v>
      </c>
      <c r="K83" s="8">
        <v>96</v>
      </c>
      <c r="L83" s="8">
        <v>96</v>
      </c>
      <c r="M83" s="15">
        <f t="shared" si="6"/>
        <v>9.6000000000000014</v>
      </c>
      <c r="N83" s="8">
        <v>95</v>
      </c>
      <c r="O83" s="8">
        <v>95</v>
      </c>
      <c r="P83" s="15">
        <f t="shared" si="7"/>
        <v>9.5</v>
      </c>
      <c r="Q83" s="10"/>
      <c r="R83" s="201" t="str">
        <f t="shared" si="8"/>
        <v>BASICO</v>
      </c>
      <c r="S83" s="202"/>
      <c r="T83" s="202"/>
      <c r="U83" s="338"/>
      <c r="V83" s="51">
        <f t="shared" si="9"/>
        <v>70.22</v>
      </c>
      <c r="W83" s="10"/>
      <c r="X83" s="10"/>
    </row>
    <row r="84" spans="1:24" ht="15.75" customHeight="1" x14ac:dyDescent="0.25">
      <c r="A84" s="38">
        <v>24</v>
      </c>
      <c r="B84" s="67" t="s">
        <v>480</v>
      </c>
      <c r="C84" s="26">
        <v>84</v>
      </c>
      <c r="D84" s="8">
        <v>98</v>
      </c>
      <c r="E84" s="8">
        <v>79</v>
      </c>
      <c r="F84" s="8"/>
      <c r="G84" s="8"/>
      <c r="H84" s="8"/>
      <c r="I84" s="8">
        <v>40</v>
      </c>
      <c r="J84" s="15">
        <f t="shared" si="5"/>
        <v>65.84</v>
      </c>
      <c r="K84" s="8">
        <v>96</v>
      </c>
      <c r="L84" s="8">
        <v>96</v>
      </c>
      <c r="M84" s="15">
        <f t="shared" si="6"/>
        <v>9.6000000000000014</v>
      </c>
      <c r="N84" s="8">
        <v>92</v>
      </c>
      <c r="O84" s="8">
        <v>92</v>
      </c>
      <c r="P84" s="15">
        <f t="shared" si="7"/>
        <v>9.2000000000000011</v>
      </c>
      <c r="Q84" s="10"/>
      <c r="R84" s="201" t="str">
        <f t="shared" si="8"/>
        <v>ALTO</v>
      </c>
      <c r="S84" s="202"/>
      <c r="T84" s="202"/>
      <c r="U84" s="338"/>
      <c r="V84" s="51">
        <f t="shared" si="9"/>
        <v>84.64</v>
      </c>
      <c r="W84" s="10"/>
      <c r="X84" s="10"/>
    </row>
    <row r="85" spans="1:24" ht="15.75" customHeight="1" x14ac:dyDescent="0.25">
      <c r="A85" s="38">
        <v>25</v>
      </c>
      <c r="B85" s="67" t="s">
        <v>240</v>
      </c>
      <c r="C85" s="26">
        <v>80</v>
      </c>
      <c r="D85" s="8">
        <v>67</v>
      </c>
      <c r="E85" s="8">
        <v>94</v>
      </c>
      <c r="F85" s="8"/>
      <c r="G85" s="8"/>
      <c r="H85" s="8"/>
      <c r="I85" s="8">
        <v>40</v>
      </c>
      <c r="J85" s="15">
        <f t="shared" si="5"/>
        <v>61.04</v>
      </c>
      <c r="K85" s="8">
        <v>97</v>
      </c>
      <c r="L85" s="8">
        <v>97</v>
      </c>
      <c r="M85" s="15">
        <f t="shared" si="6"/>
        <v>9.7000000000000011</v>
      </c>
      <c r="N85" s="8">
        <v>96</v>
      </c>
      <c r="O85" s="8">
        <v>96</v>
      </c>
      <c r="P85" s="15">
        <f t="shared" si="7"/>
        <v>9.6000000000000014</v>
      </c>
      <c r="Q85" s="10"/>
      <c r="R85" s="201" t="str">
        <f t="shared" si="8"/>
        <v>ALTO</v>
      </c>
      <c r="S85" s="202"/>
      <c r="T85" s="202"/>
      <c r="U85" s="338"/>
      <c r="V85" s="51">
        <f t="shared" si="9"/>
        <v>80.34</v>
      </c>
      <c r="W85" s="10"/>
      <c r="X85" s="10"/>
    </row>
    <row r="86" spans="1:24" ht="15.75" customHeight="1" x14ac:dyDescent="0.25">
      <c r="A86" s="38">
        <v>26</v>
      </c>
      <c r="B86" s="67" t="s">
        <v>434</v>
      </c>
      <c r="C86" s="26">
        <v>100</v>
      </c>
      <c r="D86" s="8">
        <v>100</v>
      </c>
      <c r="E86" s="8">
        <v>100</v>
      </c>
      <c r="F86" s="8"/>
      <c r="G86" s="8"/>
      <c r="H86" s="8"/>
      <c r="I86" s="8">
        <v>40</v>
      </c>
      <c r="J86" s="15">
        <f t="shared" si="5"/>
        <v>75.2</v>
      </c>
      <c r="K86" s="8">
        <v>65</v>
      </c>
      <c r="L86" s="8">
        <v>65</v>
      </c>
      <c r="M86" s="15">
        <f t="shared" si="6"/>
        <v>6.5</v>
      </c>
      <c r="N86" s="8">
        <v>65</v>
      </c>
      <c r="O86" s="8">
        <v>65</v>
      </c>
      <c r="P86" s="15">
        <f t="shared" si="7"/>
        <v>6.5</v>
      </c>
      <c r="Q86" s="10"/>
      <c r="R86" s="201" t="str">
        <f t="shared" si="8"/>
        <v>ALTO</v>
      </c>
      <c r="S86" s="202"/>
      <c r="T86" s="202"/>
      <c r="U86" s="338"/>
      <c r="V86" s="51">
        <f t="shared" si="9"/>
        <v>88.2</v>
      </c>
      <c r="W86" s="10"/>
      <c r="X86" s="10"/>
    </row>
    <row r="87" spans="1:24" ht="15.75" customHeight="1" x14ac:dyDescent="0.25">
      <c r="A87" s="38">
        <v>27</v>
      </c>
      <c r="B87" s="67" t="s">
        <v>435</v>
      </c>
      <c r="C87" s="26">
        <v>100</v>
      </c>
      <c r="D87" s="8">
        <v>100</v>
      </c>
      <c r="E87" s="8">
        <v>100</v>
      </c>
      <c r="F87" s="8"/>
      <c r="G87" s="8"/>
      <c r="H87" s="8"/>
      <c r="I87" s="8">
        <v>67</v>
      </c>
      <c r="J87" s="15">
        <f t="shared" si="5"/>
        <v>77.36</v>
      </c>
      <c r="K87" s="8">
        <v>65</v>
      </c>
      <c r="L87" s="8">
        <v>65</v>
      </c>
      <c r="M87" s="15">
        <f t="shared" si="6"/>
        <v>6.5</v>
      </c>
      <c r="N87" s="8">
        <v>65</v>
      </c>
      <c r="O87" s="8">
        <v>65</v>
      </c>
      <c r="P87" s="15">
        <f t="shared" si="7"/>
        <v>6.5</v>
      </c>
      <c r="Q87" s="10"/>
      <c r="R87" s="201" t="str">
        <f t="shared" si="8"/>
        <v>SUPERIOR</v>
      </c>
      <c r="S87" s="202"/>
      <c r="T87" s="202"/>
      <c r="U87" s="338"/>
      <c r="V87" s="51">
        <f t="shared" si="9"/>
        <v>90.36</v>
      </c>
      <c r="W87" s="10"/>
      <c r="X87" s="10"/>
    </row>
    <row r="88" spans="1:24" ht="15.75" customHeight="1" x14ac:dyDescent="0.25">
      <c r="A88" s="38">
        <v>28</v>
      </c>
      <c r="B88" s="67" t="s">
        <v>436</v>
      </c>
      <c r="C88" s="26">
        <v>78</v>
      </c>
      <c r="D88" s="8">
        <v>89</v>
      </c>
      <c r="E88" s="8">
        <v>86</v>
      </c>
      <c r="F88" s="8"/>
      <c r="G88" s="8"/>
      <c r="H88" s="8"/>
      <c r="I88" s="8">
        <v>60</v>
      </c>
      <c r="J88" s="15">
        <f t="shared" si="5"/>
        <v>65.52</v>
      </c>
      <c r="K88" s="8">
        <v>100</v>
      </c>
      <c r="L88" s="8">
        <v>100</v>
      </c>
      <c r="M88" s="15">
        <f t="shared" si="6"/>
        <v>10</v>
      </c>
      <c r="N88" s="8">
        <v>94</v>
      </c>
      <c r="O88" s="8">
        <v>94</v>
      </c>
      <c r="P88" s="15">
        <f t="shared" si="7"/>
        <v>9.4</v>
      </c>
      <c r="Q88" s="10"/>
      <c r="R88" s="201" t="str">
        <f t="shared" si="8"/>
        <v>ALTO</v>
      </c>
      <c r="S88" s="202"/>
      <c r="T88" s="202"/>
      <c r="U88" s="338"/>
      <c r="V88" s="51">
        <f t="shared" si="9"/>
        <v>84.92</v>
      </c>
      <c r="W88" s="10"/>
      <c r="X88" s="10"/>
    </row>
    <row r="89" spans="1:24" ht="15.75" customHeight="1" x14ac:dyDescent="0.25">
      <c r="A89" s="38">
        <v>29</v>
      </c>
      <c r="B89" s="67" t="s">
        <v>437</v>
      </c>
      <c r="C89" s="26">
        <v>77</v>
      </c>
      <c r="D89" s="8">
        <v>89</v>
      </c>
      <c r="E89" s="8">
        <v>94</v>
      </c>
      <c r="F89" s="8"/>
      <c r="G89" s="8"/>
      <c r="H89" s="8"/>
      <c r="I89" s="8">
        <v>70</v>
      </c>
      <c r="J89" s="15">
        <f t="shared" si="5"/>
        <v>68</v>
      </c>
      <c r="K89" s="8">
        <v>95</v>
      </c>
      <c r="L89" s="8">
        <v>95</v>
      </c>
      <c r="M89" s="15">
        <f t="shared" si="6"/>
        <v>9.5</v>
      </c>
      <c r="N89" s="8">
        <v>97</v>
      </c>
      <c r="O89" s="8">
        <v>97</v>
      </c>
      <c r="P89" s="15">
        <f t="shared" si="7"/>
        <v>9.7000000000000011</v>
      </c>
      <c r="Q89" s="10"/>
      <c r="R89" s="201" t="str">
        <f t="shared" si="8"/>
        <v>ALTO</v>
      </c>
      <c r="S89" s="202"/>
      <c r="T89" s="202"/>
      <c r="U89" s="338"/>
      <c r="V89" s="51">
        <f t="shared" si="9"/>
        <v>87.2</v>
      </c>
      <c r="W89" s="10"/>
      <c r="X89" s="10"/>
    </row>
    <row r="90" spans="1:24" ht="15.75" customHeight="1" x14ac:dyDescent="0.25">
      <c r="A90" s="38">
        <v>30</v>
      </c>
      <c r="B90" s="67" t="s">
        <v>201</v>
      </c>
      <c r="C90" s="26">
        <v>100</v>
      </c>
      <c r="D90" s="8">
        <v>100</v>
      </c>
      <c r="E90" s="8">
        <v>100</v>
      </c>
      <c r="F90" s="8"/>
      <c r="G90" s="8"/>
      <c r="H90" s="8"/>
      <c r="I90" s="8">
        <v>60</v>
      </c>
      <c r="J90" s="15">
        <f t="shared" si="5"/>
        <v>76.8</v>
      </c>
      <c r="K90" s="8">
        <v>65</v>
      </c>
      <c r="L90" s="8">
        <v>65</v>
      </c>
      <c r="M90" s="15">
        <f t="shared" si="6"/>
        <v>6.5</v>
      </c>
      <c r="N90" s="8">
        <v>65</v>
      </c>
      <c r="O90" s="8">
        <v>65</v>
      </c>
      <c r="P90" s="15">
        <f t="shared" si="7"/>
        <v>6.5</v>
      </c>
      <c r="Q90" s="10"/>
      <c r="R90" s="201" t="str">
        <f t="shared" si="8"/>
        <v>SUPERIOR</v>
      </c>
      <c r="S90" s="202"/>
      <c r="T90" s="202"/>
      <c r="U90" s="338"/>
      <c r="V90" s="51">
        <f t="shared" si="9"/>
        <v>89.8</v>
      </c>
      <c r="W90" s="10"/>
      <c r="X90" s="10"/>
    </row>
    <row r="91" spans="1:24" ht="15.75" customHeight="1" x14ac:dyDescent="0.25">
      <c r="A91" s="38">
        <v>31</v>
      </c>
      <c r="B91" s="67" t="s">
        <v>227</v>
      </c>
      <c r="C91" s="26">
        <v>38</v>
      </c>
      <c r="D91" s="8">
        <v>24</v>
      </c>
      <c r="E91" s="8">
        <v>53</v>
      </c>
      <c r="F91" s="8"/>
      <c r="G91" s="8"/>
      <c r="H91" s="8"/>
      <c r="I91" s="8">
        <v>60</v>
      </c>
      <c r="J91" s="15">
        <f t="shared" si="5"/>
        <v>32.4</v>
      </c>
      <c r="K91" s="8">
        <v>91</v>
      </c>
      <c r="L91" s="8">
        <v>91</v>
      </c>
      <c r="M91" s="15">
        <f t="shared" si="6"/>
        <v>9.1</v>
      </c>
      <c r="N91" s="8">
        <v>83</v>
      </c>
      <c r="O91" s="8">
        <v>83</v>
      </c>
      <c r="P91" s="15">
        <f t="shared" si="7"/>
        <v>8.3000000000000007</v>
      </c>
      <c r="Q91" s="10"/>
      <c r="R91" s="201" t="str">
        <f t="shared" si="8"/>
        <v>BAJO</v>
      </c>
      <c r="S91" s="202"/>
      <c r="T91" s="202"/>
      <c r="U91" s="338"/>
      <c r="V91" s="51">
        <f t="shared" si="9"/>
        <v>49.8</v>
      </c>
      <c r="W91" s="10"/>
      <c r="X91" s="10"/>
    </row>
    <row r="92" spans="1:24" ht="15.75" customHeight="1" x14ac:dyDescent="0.25">
      <c r="A92" s="38">
        <v>32</v>
      </c>
      <c r="B92" s="67" t="s">
        <v>800</v>
      </c>
      <c r="C92" s="26">
        <v>71</v>
      </c>
      <c r="D92" s="8">
        <v>36</v>
      </c>
      <c r="E92" s="8">
        <v>87</v>
      </c>
      <c r="F92" s="8"/>
      <c r="G92" s="8"/>
      <c r="H92" s="8"/>
      <c r="I92" s="8">
        <v>67</v>
      </c>
      <c r="J92" s="15">
        <f t="shared" si="5"/>
        <v>51.92</v>
      </c>
      <c r="K92" s="8">
        <v>99</v>
      </c>
      <c r="L92" s="8">
        <v>99</v>
      </c>
      <c r="M92" s="15">
        <f t="shared" si="6"/>
        <v>9.9</v>
      </c>
      <c r="N92" s="8">
        <v>84</v>
      </c>
      <c r="O92" s="8">
        <v>84</v>
      </c>
      <c r="P92" s="15">
        <f t="shared" si="7"/>
        <v>8.4</v>
      </c>
      <c r="Q92" s="10"/>
      <c r="R92" s="201" t="str">
        <f t="shared" si="8"/>
        <v>BASICO</v>
      </c>
      <c r="S92" s="202"/>
      <c r="T92" s="202"/>
      <c r="U92" s="338"/>
      <c r="V92" s="51">
        <f t="shared" si="9"/>
        <v>70.22</v>
      </c>
      <c r="W92" s="10"/>
      <c r="X92" s="10"/>
    </row>
    <row r="93" spans="1:24" ht="15.75" customHeight="1" x14ac:dyDescent="0.25">
      <c r="A93" s="38">
        <v>33</v>
      </c>
      <c r="B93" s="67" t="s">
        <v>257</v>
      </c>
      <c r="C93" s="26">
        <v>67</v>
      </c>
      <c r="D93" s="8">
        <v>80</v>
      </c>
      <c r="E93" s="8">
        <v>55</v>
      </c>
      <c r="F93" s="8"/>
      <c r="G93" s="8"/>
      <c r="H93" s="8"/>
      <c r="I93" s="8">
        <v>60</v>
      </c>
      <c r="J93" s="15">
        <f t="shared" si="5"/>
        <v>53.279999999999994</v>
      </c>
      <c r="K93" s="8">
        <v>100</v>
      </c>
      <c r="L93" s="8">
        <v>100</v>
      </c>
      <c r="M93" s="15">
        <f t="shared" si="6"/>
        <v>10</v>
      </c>
      <c r="N93" s="8">
        <v>97</v>
      </c>
      <c r="O93" s="8">
        <v>97</v>
      </c>
      <c r="P93" s="15">
        <f t="shared" si="7"/>
        <v>9.7000000000000011</v>
      </c>
      <c r="Q93" s="10"/>
      <c r="R93" s="201" t="str">
        <f t="shared" si="8"/>
        <v>BASICO</v>
      </c>
      <c r="S93" s="202"/>
      <c r="T93" s="202"/>
      <c r="U93" s="338"/>
      <c r="V93" s="51">
        <f t="shared" si="9"/>
        <v>72.97999999999999</v>
      </c>
      <c r="W93" s="10"/>
      <c r="X93" s="10"/>
    </row>
    <row r="94" spans="1:24" ht="15.75" customHeight="1" x14ac:dyDescent="0.25">
      <c r="A94" s="38">
        <v>34</v>
      </c>
      <c r="B94" s="67" t="s">
        <v>203</v>
      </c>
      <c r="C94" s="26">
        <v>59</v>
      </c>
      <c r="D94" s="8">
        <v>89</v>
      </c>
      <c r="E94" s="8">
        <v>90</v>
      </c>
      <c r="F94" s="8"/>
      <c r="G94" s="8"/>
      <c r="H94" s="8"/>
      <c r="I94" s="8">
        <v>60</v>
      </c>
      <c r="J94" s="15">
        <f t="shared" si="5"/>
        <v>61.919999999999995</v>
      </c>
      <c r="K94" s="8">
        <v>97</v>
      </c>
      <c r="L94" s="8">
        <v>97</v>
      </c>
      <c r="M94" s="15">
        <f t="shared" si="6"/>
        <v>9.7000000000000011</v>
      </c>
      <c r="N94" s="8">
        <v>84</v>
      </c>
      <c r="O94" s="8">
        <v>84</v>
      </c>
      <c r="P94" s="15">
        <f t="shared" si="7"/>
        <v>8.4</v>
      </c>
      <c r="Q94" s="10"/>
      <c r="R94" s="201" t="str">
        <f t="shared" si="8"/>
        <v>ALTO</v>
      </c>
      <c r="S94" s="202"/>
      <c r="T94" s="202"/>
      <c r="U94" s="338"/>
      <c r="V94" s="51">
        <f t="shared" si="9"/>
        <v>80.02</v>
      </c>
      <c r="W94" s="10"/>
      <c r="X94" s="10"/>
    </row>
    <row r="95" spans="1:24" ht="15.75" customHeight="1" x14ac:dyDescent="0.25">
      <c r="A95" s="38">
        <v>35</v>
      </c>
      <c r="B95" s="67" t="s">
        <v>801</v>
      </c>
      <c r="C95" s="26">
        <v>51</v>
      </c>
      <c r="D95" s="8">
        <v>28</v>
      </c>
      <c r="E95" s="8">
        <v>44</v>
      </c>
      <c r="F95" s="8"/>
      <c r="G95" s="8"/>
      <c r="H95" s="8"/>
      <c r="I95" s="8">
        <v>40</v>
      </c>
      <c r="J95" s="15">
        <f t="shared" si="5"/>
        <v>32.72</v>
      </c>
      <c r="K95" s="8">
        <v>86</v>
      </c>
      <c r="L95" s="8">
        <v>86</v>
      </c>
      <c r="M95" s="15">
        <f t="shared" si="6"/>
        <v>8.6</v>
      </c>
      <c r="N95" s="8">
        <v>91</v>
      </c>
      <c r="O95" s="8">
        <v>91</v>
      </c>
      <c r="P95" s="15">
        <f t="shared" si="7"/>
        <v>9.1</v>
      </c>
      <c r="Q95" s="10"/>
      <c r="R95" s="201" t="str">
        <f t="shared" si="8"/>
        <v>BAJO</v>
      </c>
      <c r="S95" s="202"/>
      <c r="T95" s="202"/>
      <c r="U95" s="338"/>
      <c r="V95" s="51">
        <f t="shared" si="9"/>
        <v>50.42</v>
      </c>
      <c r="W95" s="10"/>
      <c r="X95" s="10"/>
    </row>
    <row r="96" spans="1:24" ht="15.75" customHeight="1" x14ac:dyDescent="0.25">
      <c r="A96" s="38">
        <v>36</v>
      </c>
      <c r="B96" s="67" t="s">
        <v>276</v>
      </c>
      <c r="C96" s="26">
        <v>100</v>
      </c>
      <c r="D96" s="8">
        <v>100</v>
      </c>
      <c r="E96" s="8">
        <v>100</v>
      </c>
      <c r="F96" s="8"/>
      <c r="G96" s="8"/>
      <c r="H96" s="8"/>
      <c r="I96" s="8">
        <v>40</v>
      </c>
      <c r="J96" s="15">
        <f t="shared" si="5"/>
        <v>75.2</v>
      </c>
      <c r="K96" s="8">
        <v>65</v>
      </c>
      <c r="L96" s="8">
        <v>65</v>
      </c>
      <c r="M96" s="15">
        <f t="shared" si="6"/>
        <v>6.5</v>
      </c>
      <c r="N96" s="8">
        <v>65</v>
      </c>
      <c r="O96" s="8">
        <v>65</v>
      </c>
      <c r="P96" s="15">
        <f t="shared" si="7"/>
        <v>6.5</v>
      </c>
      <c r="Q96" s="10"/>
      <c r="R96" s="201" t="str">
        <f t="shared" si="8"/>
        <v>ALTO</v>
      </c>
      <c r="S96" s="202"/>
      <c r="T96" s="202"/>
      <c r="U96" s="338"/>
      <c r="V96" s="51">
        <f t="shared" si="9"/>
        <v>88.2</v>
      </c>
      <c r="W96" s="10"/>
      <c r="X96" s="10"/>
    </row>
    <row r="97" spans="1:24" ht="15.75" customHeight="1" x14ac:dyDescent="0.25">
      <c r="A97" s="38">
        <v>37</v>
      </c>
      <c r="B97" s="67" t="s">
        <v>241</v>
      </c>
      <c r="C97" s="26">
        <v>94</v>
      </c>
      <c r="D97" s="8">
        <v>36</v>
      </c>
      <c r="E97" s="8">
        <v>91</v>
      </c>
      <c r="F97" s="8"/>
      <c r="G97" s="8"/>
      <c r="H97" s="8"/>
      <c r="I97" s="8">
        <v>60</v>
      </c>
      <c r="J97" s="15">
        <f t="shared" si="5"/>
        <v>57.839999999999996</v>
      </c>
      <c r="K97" s="8">
        <v>82</v>
      </c>
      <c r="L97" s="8">
        <v>82</v>
      </c>
      <c r="M97" s="15">
        <f t="shared" si="6"/>
        <v>8.2000000000000011</v>
      </c>
      <c r="N97" s="8">
        <v>83</v>
      </c>
      <c r="O97" s="8">
        <v>83</v>
      </c>
      <c r="P97" s="15">
        <f t="shared" si="7"/>
        <v>8.3000000000000007</v>
      </c>
      <c r="Q97" s="10"/>
      <c r="R97" s="201" t="str">
        <f t="shared" si="8"/>
        <v>BASICO</v>
      </c>
      <c r="S97" s="202"/>
      <c r="T97" s="202"/>
      <c r="U97" s="338"/>
      <c r="V97" s="51">
        <f t="shared" si="9"/>
        <v>74.339999999999989</v>
      </c>
      <c r="W97" s="10"/>
      <c r="X97" s="10"/>
    </row>
    <row r="98" spans="1:24" ht="15.75" customHeight="1" x14ac:dyDescent="0.25">
      <c r="A98" s="38">
        <v>38</v>
      </c>
      <c r="B98" s="67" t="s">
        <v>244</v>
      </c>
      <c r="C98" s="26">
        <v>36</v>
      </c>
      <c r="D98" s="8">
        <v>59</v>
      </c>
      <c r="E98" s="8">
        <v>22</v>
      </c>
      <c r="F98" s="8"/>
      <c r="G98" s="8"/>
      <c r="H98" s="8"/>
      <c r="I98" s="8">
        <v>60</v>
      </c>
      <c r="J98" s="15">
        <f t="shared" si="5"/>
        <v>32.879999999999995</v>
      </c>
      <c r="K98" s="8">
        <v>88</v>
      </c>
      <c r="L98" s="8">
        <v>88</v>
      </c>
      <c r="M98" s="15">
        <f t="shared" si="6"/>
        <v>8.8000000000000007</v>
      </c>
      <c r="N98" s="8">
        <v>86</v>
      </c>
      <c r="O98" s="8">
        <v>86</v>
      </c>
      <c r="P98" s="15">
        <f t="shared" si="7"/>
        <v>8.6</v>
      </c>
      <c r="Q98" s="10"/>
      <c r="R98" s="201" t="str">
        <f t="shared" si="8"/>
        <v>BAJO</v>
      </c>
      <c r="S98" s="202"/>
      <c r="T98" s="202"/>
      <c r="U98" s="338"/>
      <c r="V98" s="51">
        <f t="shared" si="9"/>
        <v>50.279999999999994</v>
      </c>
      <c r="W98" s="10"/>
      <c r="X98" s="10"/>
    </row>
    <row r="99" spans="1:24" ht="15.75" customHeight="1" x14ac:dyDescent="0.25">
      <c r="A99" s="38">
        <v>39</v>
      </c>
      <c r="B99" s="67" t="s">
        <v>280</v>
      </c>
      <c r="C99" s="26">
        <v>97</v>
      </c>
      <c r="D99" s="8">
        <v>97</v>
      </c>
      <c r="E99" s="8">
        <v>97</v>
      </c>
      <c r="F99" s="8"/>
      <c r="G99" s="8"/>
      <c r="H99" s="8"/>
      <c r="I99" s="8">
        <v>40</v>
      </c>
      <c r="J99" s="15">
        <f t="shared" si="5"/>
        <v>73.040000000000006</v>
      </c>
      <c r="K99" s="8">
        <v>65</v>
      </c>
      <c r="L99" s="8">
        <v>65</v>
      </c>
      <c r="M99" s="15">
        <f t="shared" si="6"/>
        <v>6.5</v>
      </c>
      <c r="N99" s="8">
        <v>65</v>
      </c>
      <c r="O99" s="8">
        <v>65</v>
      </c>
      <c r="P99" s="15">
        <f t="shared" si="7"/>
        <v>6.5</v>
      </c>
      <c r="Q99" s="10"/>
      <c r="R99" s="201" t="str">
        <f t="shared" si="8"/>
        <v>ALTO</v>
      </c>
      <c r="S99" s="202"/>
      <c r="T99" s="202"/>
      <c r="U99" s="338"/>
      <c r="V99" s="51">
        <f t="shared" si="9"/>
        <v>86.04</v>
      </c>
      <c r="W99" s="10"/>
      <c r="X99" s="10"/>
    </row>
    <row r="100" spans="1:24" ht="15.75" customHeight="1" x14ac:dyDescent="0.25">
      <c r="A100" s="38">
        <v>40</v>
      </c>
      <c r="B100" s="67" t="s">
        <v>438</v>
      </c>
      <c r="C100" s="26">
        <v>97</v>
      </c>
      <c r="D100" s="8">
        <v>54</v>
      </c>
      <c r="E100" s="8">
        <v>85</v>
      </c>
      <c r="F100" s="8"/>
      <c r="G100" s="8"/>
      <c r="H100" s="8"/>
      <c r="I100" s="8">
        <v>60</v>
      </c>
      <c r="J100" s="15">
        <f t="shared" si="5"/>
        <v>61.44</v>
      </c>
      <c r="K100" s="8">
        <v>87</v>
      </c>
      <c r="L100" s="8">
        <v>87</v>
      </c>
      <c r="M100" s="15">
        <f t="shared" si="6"/>
        <v>8.7000000000000011</v>
      </c>
      <c r="N100" s="8">
        <v>96</v>
      </c>
      <c r="O100" s="8">
        <v>96</v>
      </c>
      <c r="P100" s="15">
        <f t="shared" si="7"/>
        <v>9.6000000000000014</v>
      </c>
      <c r="Q100" s="10"/>
      <c r="R100" s="201" t="str">
        <f t="shared" si="8"/>
        <v>ALTO</v>
      </c>
      <c r="S100" s="202"/>
      <c r="T100" s="202"/>
      <c r="U100" s="338"/>
      <c r="V100" s="51">
        <f t="shared" si="9"/>
        <v>79.740000000000009</v>
      </c>
      <c r="W100" s="10"/>
      <c r="X100" s="10"/>
    </row>
    <row r="101" spans="1:24" ht="15.75" customHeight="1" x14ac:dyDescent="0.25">
      <c r="A101" s="38">
        <v>41</v>
      </c>
      <c r="B101" s="169" t="s">
        <v>919</v>
      </c>
      <c r="C101" s="26">
        <v>82</v>
      </c>
      <c r="D101" s="8">
        <v>93</v>
      </c>
      <c r="E101" s="8">
        <v>60</v>
      </c>
      <c r="F101" s="8"/>
      <c r="G101" s="8"/>
      <c r="H101" s="8"/>
      <c r="I101" s="8">
        <v>40</v>
      </c>
      <c r="J101" s="15">
        <f t="shared" si="5"/>
        <v>59.599999999999994</v>
      </c>
      <c r="K101" s="8">
        <v>93</v>
      </c>
      <c r="L101" s="8">
        <v>93</v>
      </c>
      <c r="M101" s="15">
        <f t="shared" si="6"/>
        <v>9.3000000000000007</v>
      </c>
      <c r="N101" s="8">
        <v>89</v>
      </c>
      <c r="O101" s="8">
        <v>89</v>
      </c>
      <c r="P101" s="15">
        <f t="shared" si="7"/>
        <v>8.9</v>
      </c>
      <c r="Q101" s="10"/>
      <c r="R101" s="201" t="str">
        <f t="shared" si="8"/>
        <v>BASICO</v>
      </c>
      <c r="S101" s="202"/>
      <c r="T101" s="202"/>
      <c r="U101" s="338"/>
      <c r="V101" s="51">
        <f t="shared" si="9"/>
        <v>77.8</v>
      </c>
      <c r="W101" s="10"/>
      <c r="X101" s="10"/>
    </row>
    <row r="102" spans="1:24" ht="15.75" customHeight="1" x14ac:dyDescent="0.25">
      <c r="A102" s="38">
        <v>42</v>
      </c>
      <c r="B102" s="67"/>
      <c r="C102" s="26"/>
      <c r="D102" s="8"/>
      <c r="E102" s="8"/>
      <c r="F102" s="8"/>
      <c r="G102" s="8"/>
      <c r="H102" s="8"/>
      <c r="I102" s="8"/>
      <c r="J102" s="15" t="e">
        <f t="shared" si="5"/>
        <v>#DIV/0!</v>
      </c>
      <c r="K102" s="8"/>
      <c r="L102" s="8"/>
      <c r="M102" s="15" t="e">
        <f t="shared" si="6"/>
        <v>#DIV/0!</v>
      </c>
      <c r="N102" s="8"/>
      <c r="O102" s="8"/>
      <c r="P102" s="15" t="e">
        <f t="shared" si="7"/>
        <v>#DIV/0!</v>
      </c>
      <c r="Q102" s="10"/>
      <c r="R102" s="201" t="e">
        <f t="shared" si="8"/>
        <v>#DIV/0!</v>
      </c>
      <c r="S102" s="202"/>
      <c r="T102" s="202"/>
      <c r="U102" s="338"/>
      <c r="V102" s="51" t="e">
        <f t="shared" si="9"/>
        <v>#DIV/0!</v>
      </c>
      <c r="W102" s="10"/>
      <c r="X102" s="10"/>
    </row>
    <row r="103" spans="1:24" ht="15.75" customHeight="1" x14ac:dyDescent="0.25">
      <c r="A103" s="38">
        <v>43</v>
      </c>
      <c r="B103" s="63"/>
      <c r="C103" s="26"/>
      <c r="D103" s="8"/>
      <c r="E103" s="8"/>
      <c r="F103" s="8"/>
      <c r="G103" s="8"/>
      <c r="H103" s="8"/>
      <c r="I103" s="8"/>
      <c r="J103" s="15" t="e">
        <f t="shared" si="5"/>
        <v>#DIV/0!</v>
      </c>
      <c r="K103" s="8"/>
      <c r="L103" s="8"/>
      <c r="M103" s="15" t="e">
        <f t="shared" si="6"/>
        <v>#DIV/0!</v>
      </c>
      <c r="N103" s="8"/>
      <c r="O103" s="8"/>
      <c r="P103" s="15" t="e">
        <f t="shared" si="7"/>
        <v>#DIV/0!</v>
      </c>
      <c r="Q103" s="10"/>
      <c r="R103" s="201" t="e">
        <f t="shared" si="8"/>
        <v>#DIV/0!</v>
      </c>
      <c r="S103" s="202"/>
      <c r="T103" s="202"/>
      <c r="U103" s="338"/>
      <c r="V103" s="51" t="e">
        <f t="shared" si="9"/>
        <v>#DIV/0!</v>
      </c>
      <c r="W103" s="10"/>
      <c r="X103" s="10"/>
    </row>
    <row r="104" spans="1:24" ht="15.75" customHeight="1" x14ac:dyDescent="0.25">
      <c r="A104" s="38">
        <v>44</v>
      </c>
      <c r="B104" s="75"/>
      <c r="C104" s="26"/>
      <c r="D104" s="8"/>
      <c r="E104" s="8"/>
      <c r="F104" s="8"/>
      <c r="G104" s="8"/>
      <c r="H104" s="8"/>
      <c r="I104" s="8"/>
      <c r="J104" s="15" t="e">
        <f t="shared" si="5"/>
        <v>#DIV/0!</v>
      </c>
      <c r="K104" s="8"/>
      <c r="L104" s="8"/>
      <c r="M104" s="15" t="e">
        <f t="shared" si="6"/>
        <v>#DIV/0!</v>
      </c>
      <c r="N104" s="8"/>
      <c r="O104" s="8"/>
      <c r="P104" s="15" t="e">
        <f t="shared" si="7"/>
        <v>#DIV/0!</v>
      </c>
      <c r="Q104" s="10"/>
      <c r="R104" s="201" t="e">
        <f t="shared" si="8"/>
        <v>#DIV/0!</v>
      </c>
      <c r="S104" s="202"/>
      <c r="T104" s="202"/>
      <c r="U104" s="338"/>
      <c r="V104" s="51" t="e">
        <f t="shared" si="9"/>
        <v>#DIV/0!</v>
      </c>
      <c r="W104" s="10"/>
      <c r="X104" s="10"/>
    </row>
    <row r="105" spans="1:24" ht="15.75" customHeight="1" x14ac:dyDescent="0.25">
      <c r="A105" s="187"/>
      <c r="B105" s="99"/>
      <c r="C105" s="205"/>
      <c r="D105" s="205"/>
      <c r="E105" s="210"/>
      <c r="F105" s="211"/>
      <c r="G105" s="211"/>
      <c r="H105" s="211"/>
      <c r="I105" s="211"/>
      <c r="J105" s="204"/>
      <c r="K105" s="204"/>
      <c r="L105" s="205"/>
      <c r="M105" s="185"/>
      <c r="N105" s="185"/>
      <c r="O105" s="185"/>
      <c r="P105" s="185"/>
      <c r="Q105" s="187"/>
      <c r="R105" s="188"/>
      <c r="S105" s="189"/>
      <c r="T105" s="190"/>
      <c r="U105" s="194"/>
      <c r="V105" s="195"/>
      <c r="W105" s="206"/>
      <c r="X105" s="181"/>
    </row>
    <row r="106" spans="1:24" ht="15.75" customHeight="1" x14ac:dyDescent="0.25">
      <c r="A106" s="187"/>
      <c r="B106" s="335"/>
      <c r="C106" s="205"/>
      <c r="D106" s="205"/>
      <c r="E106" s="210"/>
      <c r="F106" s="211"/>
      <c r="G106" s="211"/>
      <c r="H106" s="211"/>
      <c r="I106" s="211"/>
      <c r="J106" s="204"/>
      <c r="K106" s="204"/>
      <c r="L106" s="205"/>
      <c r="M106" s="185"/>
      <c r="N106" s="185"/>
      <c r="O106" s="185"/>
      <c r="P106" s="185"/>
      <c r="Q106" s="187"/>
      <c r="R106" s="188"/>
      <c r="S106" s="189"/>
      <c r="T106" s="190"/>
      <c r="U106" s="194"/>
      <c r="V106" s="195"/>
      <c r="W106" s="206"/>
      <c r="X106" s="181"/>
    </row>
    <row r="107" spans="1:24" ht="79.5" customHeight="1" thickBot="1" x14ac:dyDescent="0.3">
      <c r="A107" s="187"/>
      <c r="B107" s="339"/>
      <c r="C107" s="205"/>
      <c r="D107" s="205"/>
      <c r="E107" s="210"/>
      <c r="F107" s="212"/>
      <c r="G107" s="212"/>
      <c r="H107" s="212"/>
      <c r="I107" s="212"/>
      <c r="J107" s="204"/>
      <c r="K107" s="204"/>
      <c r="L107" s="205"/>
      <c r="M107" s="186"/>
      <c r="N107" s="186"/>
      <c r="O107" s="186"/>
      <c r="P107" s="186"/>
      <c r="Q107" s="187"/>
      <c r="R107" s="191"/>
      <c r="S107" s="192"/>
      <c r="T107" s="193"/>
      <c r="U107" s="196"/>
      <c r="V107" s="197"/>
      <c r="W107" s="207"/>
      <c r="X107" s="182"/>
    </row>
    <row r="108" spans="1:24" ht="15.75" customHeight="1" thickTop="1" thickBot="1" x14ac:dyDescent="0.3"/>
    <row r="109" spans="1:24" ht="87.75" customHeight="1" thickBot="1" x14ac:dyDescent="0.3">
      <c r="A109" s="290"/>
      <c r="B109" s="291"/>
      <c r="C109" s="291"/>
      <c r="D109" s="291"/>
      <c r="E109" s="291"/>
      <c r="F109" s="291"/>
      <c r="G109" s="291"/>
      <c r="H109" s="291"/>
      <c r="I109" s="291"/>
      <c r="J109" s="291"/>
      <c r="K109" s="291"/>
      <c r="L109" s="291"/>
      <c r="M109" s="291"/>
      <c r="N109" s="291"/>
      <c r="O109" s="291"/>
      <c r="P109" s="292"/>
      <c r="Q109" s="310"/>
      <c r="R109" s="228"/>
      <c r="S109" s="228"/>
      <c r="T109" s="228"/>
      <c r="U109" s="228"/>
      <c r="V109" s="228"/>
      <c r="W109" s="228"/>
      <c r="X109" s="229"/>
    </row>
    <row r="110" spans="1:24" ht="15.75" customHeight="1" thickBot="1" x14ac:dyDescent="0.3">
      <c r="A110" s="296" t="s">
        <v>18</v>
      </c>
      <c r="B110" s="297"/>
      <c r="C110" s="298" t="s">
        <v>931</v>
      </c>
      <c r="D110" s="299"/>
      <c r="E110" s="299"/>
      <c r="F110" s="299"/>
      <c r="G110" s="299"/>
      <c r="H110" s="299"/>
      <c r="I110" s="300"/>
      <c r="J110" s="223" t="s">
        <v>20</v>
      </c>
      <c r="K110" s="224"/>
      <c r="L110" s="224"/>
      <c r="M110" s="224"/>
      <c r="N110" s="225"/>
      <c r="O110" s="225"/>
      <c r="P110" s="225"/>
      <c r="Q110" s="226"/>
      <c r="R110" s="227" t="s">
        <v>35</v>
      </c>
      <c r="S110" s="228"/>
      <c r="T110" s="228"/>
      <c r="U110" s="228"/>
      <c r="V110" s="228"/>
      <c r="W110" s="228"/>
      <c r="X110" s="229"/>
    </row>
    <row r="111" spans="1:24" ht="15.75" customHeight="1" x14ac:dyDescent="0.25">
      <c r="A111" s="230" t="s">
        <v>0</v>
      </c>
      <c r="B111" s="319" t="s">
        <v>1</v>
      </c>
      <c r="C111" s="235" t="s">
        <v>12</v>
      </c>
      <c r="D111" s="235"/>
      <c r="E111" s="235"/>
      <c r="F111" s="235"/>
      <c r="G111" s="235"/>
      <c r="H111" s="235"/>
      <c r="I111" s="235"/>
      <c r="J111" s="235"/>
      <c r="K111" s="236" t="s">
        <v>13</v>
      </c>
      <c r="L111" s="237"/>
      <c r="M111" s="237"/>
      <c r="N111" s="240" t="s">
        <v>15</v>
      </c>
      <c r="O111" s="240"/>
      <c r="P111" s="240"/>
      <c r="Q111" s="241" t="s">
        <v>4</v>
      </c>
      <c r="R111" s="244" t="s">
        <v>11</v>
      </c>
      <c r="S111" s="244"/>
      <c r="T111" s="244"/>
      <c r="U111" s="244"/>
      <c r="V111" s="244"/>
      <c r="W111" s="246" t="s">
        <v>2</v>
      </c>
      <c r="X111" s="247"/>
    </row>
    <row r="112" spans="1:24" ht="15.75" customHeight="1" x14ac:dyDescent="0.25">
      <c r="A112" s="231"/>
      <c r="B112" s="320"/>
      <c r="C112" s="248" t="s">
        <v>6</v>
      </c>
      <c r="D112" s="248" t="s">
        <v>17</v>
      </c>
      <c r="E112" s="248" t="s">
        <v>5</v>
      </c>
      <c r="F112" s="250"/>
      <c r="G112" s="250"/>
      <c r="H112" s="250"/>
      <c r="I112" s="251" t="s">
        <v>16</v>
      </c>
      <c r="J112" s="253" t="s">
        <v>14</v>
      </c>
      <c r="K112" s="238"/>
      <c r="L112" s="239"/>
      <c r="M112" s="239"/>
      <c r="N112" s="240"/>
      <c r="O112" s="240"/>
      <c r="P112" s="240"/>
      <c r="Q112" s="242"/>
      <c r="R112" s="245"/>
      <c r="S112" s="245"/>
      <c r="T112" s="245"/>
      <c r="U112" s="245"/>
      <c r="V112" s="245"/>
      <c r="W112" s="187"/>
      <c r="X112" s="187"/>
    </row>
    <row r="113" spans="1:24" ht="29.25" customHeight="1" thickBot="1" x14ac:dyDescent="0.3">
      <c r="A113" s="232"/>
      <c r="B113" s="340"/>
      <c r="C113" s="248"/>
      <c r="D113" s="248"/>
      <c r="E113" s="248"/>
      <c r="F113" s="248"/>
      <c r="G113" s="248"/>
      <c r="H113" s="248"/>
      <c r="I113" s="328"/>
      <c r="J113" s="329"/>
      <c r="K113" s="27" t="s">
        <v>9</v>
      </c>
      <c r="L113" s="27" t="s">
        <v>10</v>
      </c>
      <c r="M113" s="55" t="s">
        <v>3</v>
      </c>
      <c r="N113" s="27" t="s">
        <v>9</v>
      </c>
      <c r="O113" s="27" t="s">
        <v>10</v>
      </c>
      <c r="P113" s="56" t="s">
        <v>3</v>
      </c>
      <c r="Q113" s="321"/>
      <c r="R113" s="322" t="s">
        <v>7</v>
      </c>
      <c r="S113" s="323"/>
      <c r="T113" s="323"/>
      <c r="U113" s="324"/>
      <c r="V113" s="57" t="s">
        <v>8</v>
      </c>
      <c r="W113" s="5">
        <v>1</v>
      </c>
      <c r="X113" s="5">
        <v>2</v>
      </c>
    </row>
    <row r="114" spans="1:24" ht="15.75" customHeight="1" x14ac:dyDescent="0.25">
      <c r="A114" s="38">
        <v>1</v>
      </c>
      <c r="B114" s="121" t="s">
        <v>144</v>
      </c>
      <c r="C114" s="29">
        <v>34</v>
      </c>
      <c r="D114" s="30">
        <v>71</v>
      </c>
      <c r="E114" s="30">
        <v>79</v>
      </c>
      <c r="F114" s="30"/>
      <c r="G114" s="30"/>
      <c r="H114" s="30"/>
      <c r="I114" s="30">
        <v>40</v>
      </c>
      <c r="J114" s="31">
        <f>((AVERAGE(C114:H114))*72%)+I114*8%</f>
        <v>47.36</v>
      </c>
      <c r="K114" s="30">
        <v>84</v>
      </c>
      <c r="L114" s="30">
        <v>84</v>
      </c>
      <c r="M114" s="31">
        <f>(AVERAGE(K114:L114))*10%</f>
        <v>8.4</v>
      </c>
      <c r="N114" s="30">
        <v>92</v>
      </c>
      <c r="O114" s="30">
        <v>92</v>
      </c>
      <c r="P114" s="31">
        <f>(AVERAGE(N114:O114))*10%</f>
        <v>9.2000000000000011</v>
      </c>
      <c r="Q114" s="30"/>
      <c r="R114" s="325" t="str">
        <f>IF(V114&lt;65,"BAJO",IF(V114&lt;=79,"BASICO",IF(V114&lt;=89,"ALTO",IF(V114&lt;=100,"SUPERIOR"))))</f>
        <v>BAJO</v>
      </c>
      <c r="S114" s="326"/>
      <c r="T114" s="326"/>
      <c r="U114" s="327"/>
      <c r="V114" s="32">
        <f>J114+M114+P114</f>
        <v>64.959999999999994</v>
      </c>
      <c r="W114" s="24"/>
      <c r="X114" s="10"/>
    </row>
    <row r="115" spans="1:24" ht="15.75" customHeight="1" x14ac:dyDescent="0.25">
      <c r="A115" s="38">
        <v>2</v>
      </c>
      <c r="B115" s="116" t="s">
        <v>231</v>
      </c>
      <c r="C115" s="26">
        <v>87</v>
      </c>
      <c r="D115" s="8">
        <v>43</v>
      </c>
      <c r="E115" s="8">
        <v>70</v>
      </c>
      <c r="F115" s="8"/>
      <c r="G115" s="8"/>
      <c r="H115" s="8"/>
      <c r="I115" s="9">
        <v>60</v>
      </c>
      <c r="J115" s="15">
        <f t="shared" ref="J115:J159" si="10">((AVERAGE(C115:H115))*72%)+I115*8%</f>
        <v>52.8</v>
      </c>
      <c r="K115" s="8">
        <v>89</v>
      </c>
      <c r="L115" s="8">
        <v>89</v>
      </c>
      <c r="M115" s="15">
        <f t="shared" ref="M115:M159" si="11">(AVERAGE(K115:L115))*10%</f>
        <v>8.9</v>
      </c>
      <c r="N115" s="8">
        <v>83</v>
      </c>
      <c r="O115" s="8">
        <v>83</v>
      </c>
      <c r="P115" s="15">
        <f t="shared" ref="P115:P159" si="12">(AVERAGE(N115:O115))*10%</f>
        <v>8.3000000000000007</v>
      </c>
      <c r="Q115" s="11"/>
      <c r="R115" s="201" t="str">
        <f t="shared" ref="R115:R159" si="13">IF(V115&lt;65,"BAJO",IF(V115&lt;=79,"BASICO",IF(V115&lt;=89,"ALTO",IF(V115&lt;=100,"SUPERIOR"))))</f>
        <v>BASICO</v>
      </c>
      <c r="S115" s="202"/>
      <c r="T115" s="202"/>
      <c r="U115" s="203"/>
      <c r="V115" s="33">
        <f t="shared" ref="V115:V159" si="14">J115+M115+P115</f>
        <v>70</v>
      </c>
      <c r="W115" s="24"/>
      <c r="X115" s="10"/>
    </row>
    <row r="116" spans="1:24" ht="15.75" customHeight="1" x14ac:dyDescent="0.25">
      <c r="A116" s="38">
        <v>3</v>
      </c>
      <c r="B116" s="116" t="s">
        <v>261</v>
      </c>
      <c r="C116" s="26">
        <v>76</v>
      </c>
      <c r="D116" s="8">
        <v>59</v>
      </c>
      <c r="E116" s="8">
        <v>25</v>
      </c>
      <c r="F116" s="8"/>
      <c r="G116" s="8"/>
      <c r="H116" s="8"/>
      <c r="I116" s="9">
        <v>60</v>
      </c>
      <c r="J116" s="15">
        <f t="shared" si="10"/>
        <v>43.199999999999996</v>
      </c>
      <c r="K116" s="8">
        <v>66</v>
      </c>
      <c r="L116" s="8">
        <v>66</v>
      </c>
      <c r="M116" s="15">
        <f t="shared" si="11"/>
        <v>6.6000000000000005</v>
      </c>
      <c r="N116" s="8">
        <v>100</v>
      </c>
      <c r="O116" s="8">
        <v>100</v>
      </c>
      <c r="P116" s="15">
        <f t="shared" si="12"/>
        <v>10</v>
      </c>
      <c r="Q116" s="11"/>
      <c r="R116" s="201" t="str">
        <f t="shared" si="13"/>
        <v>BAJO</v>
      </c>
      <c r="S116" s="202"/>
      <c r="T116" s="202"/>
      <c r="U116" s="203"/>
      <c r="V116" s="33">
        <f t="shared" si="14"/>
        <v>59.8</v>
      </c>
      <c r="W116" s="24"/>
      <c r="X116" s="10"/>
    </row>
    <row r="117" spans="1:24" ht="15.75" customHeight="1" x14ac:dyDescent="0.25">
      <c r="A117" s="38">
        <v>4</v>
      </c>
      <c r="B117" s="116" t="s">
        <v>232</v>
      </c>
      <c r="C117" s="26">
        <v>78</v>
      </c>
      <c r="D117" s="8">
        <v>87</v>
      </c>
      <c r="E117" s="8">
        <v>95</v>
      </c>
      <c r="F117" s="8"/>
      <c r="G117" s="8"/>
      <c r="H117" s="8"/>
      <c r="I117" s="8">
        <v>60</v>
      </c>
      <c r="J117" s="15">
        <f t="shared" si="10"/>
        <v>67.2</v>
      </c>
      <c r="K117" s="8">
        <v>85</v>
      </c>
      <c r="L117" s="8">
        <v>85</v>
      </c>
      <c r="M117" s="15">
        <f t="shared" si="11"/>
        <v>8.5</v>
      </c>
      <c r="N117" s="8">
        <v>90</v>
      </c>
      <c r="O117" s="8">
        <v>90</v>
      </c>
      <c r="P117" s="15">
        <f t="shared" si="12"/>
        <v>9</v>
      </c>
      <c r="Q117" s="11"/>
      <c r="R117" s="201" t="str">
        <f t="shared" si="13"/>
        <v>ALTO</v>
      </c>
      <c r="S117" s="202"/>
      <c r="T117" s="202"/>
      <c r="U117" s="203"/>
      <c r="V117" s="33">
        <f t="shared" si="14"/>
        <v>84.7</v>
      </c>
      <c r="W117" s="24"/>
      <c r="X117" s="10"/>
    </row>
    <row r="118" spans="1:24" ht="15.75" customHeight="1" x14ac:dyDescent="0.25">
      <c r="A118" s="38">
        <v>5</v>
      </c>
      <c r="B118" s="116" t="s">
        <v>802</v>
      </c>
      <c r="C118" s="26">
        <v>95</v>
      </c>
      <c r="D118" s="8">
        <v>87</v>
      </c>
      <c r="E118" s="8">
        <v>65</v>
      </c>
      <c r="F118" s="8"/>
      <c r="G118" s="8"/>
      <c r="H118" s="8"/>
      <c r="I118" s="8">
        <v>40</v>
      </c>
      <c r="J118" s="15">
        <f t="shared" si="10"/>
        <v>62.48</v>
      </c>
      <c r="K118" s="8">
        <v>95</v>
      </c>
      <c r="L118" s="8">
        <v>95</v>
      </c>
      <c r="M118" s="15">
        <f t="shared" si="11"/>
        <v>9.5</v>
      </c>
      <c r="N118" s="8">
        <v>76</v>
      </c>
      <c r="O118" s="8">
        <v>76</v>
      </c>
      <c r="P118" s="15">
        <f t="shared" si="12"/>
        <v>7.6000000000000005</v>
      </c>
      <c r="Q118" s="10"/>
      <c r="R118" s="201" t="str">
        <f t="shared" si="13"/>
        <v>ALTO</v>
      </c>
      <c r="S118" s="202"/>
      <c r="T118" s="202"/>
      <c r="U118" s="203"/>
      <c r="V118" s="33">
        <f t="shared" si="14"/>
        <v>79.579999999999984</v>
      </c>
      <c r="W118" s="24"/>
      <c r="X118" s="10"/>
    </row>
    <row r="119" spans="1:24" ht="15.75" customHeight="1" x14ac:dyDescent="0.25">
      <c r="A119" s="38">
        <v>6</v>
      </c>
      <c r="B119" s="116" t="s">
        <v>245</v>
      </c>
      <c r="C119" s="26">
        <v>87</v>
      </c>
      <c r="D119" s="8">
        <v>62</v>
      </c>
      <c r="E119" s="8">
        <v>81</v>
      </c>
      <c r="F119" s="8"/>
      <c r="G119" s="8"/>
      <c r="H119" s="8"/>
      <c r="I119" s="8">
        <v>40</v>
      </c>
      <c r="J119" s="15">
        <f t="shared" si="10"/>
        <v>58.400000000000006</v>
      </c>
      <c r="K119" s="8">
        <v>98</v>
      </c>
      <c r="L119" s="8">
        <v>98</v>
      </c>
      <c r="M119" s="15">
        <f t="shared" si="11"/>
        <v>9.8000000000000007</v>
      </c>
      <c r="N119" s="8">
        <v>86</v>
      </c>
      <c r="O119" s="8">
        <v>86</v>
      </c>
      <c r="P119" s="15">
        <f t="shared" si="12"/>
        <v>8.6</v>
      </c>
      <c r="Q119" s="10"/>
      <c r="R119" s="201" t="str">
        <f t="shared" si="13"/>
        <v>BASICO</v>
      </c>
      <c r="S119" s="202"/>
      <c r="T119" s="202"/>
      <c r="U119" s="203"/>
      <c r="V119" s="33">
        <f t="shared" si="14"/>
        <v>76.8</v>
      </c>
      <c r="W119" s="24"/>
      <c r="X119" s="10"/>
    </row>
    <row r="120" spans="1:24" ht="15.75" customHeight="1" x14ac:dyDescent="0.25">
      <c r="A120" s="38">
        <v>7</v>
      </c>
      <c r="B120" s="116" t="s">
        <v>803</v>
      </c>
      <c r="C120" s="26">
        <v>77</v>
      </c>
      <c r="D120" s="8">
        <v>35</v>
      </c>
      <c r="E120" s="8">
        <v>72</v>
      </c>
      <c r="F120" s="8"/>
      <c r="G120" s="8"/>
      <c r="H120" s="8"/>
      <c r="I120" s="8">
        <v>40</v>
      </c>
      <c r="J120" s="15">
        <f t="shared" si="10"/>
        <v>47.36</v>
      </c>
      <c r="K120" s="8">
        <v>80</v>
      </c>
      <c r="L120" s="8">
        <v>80</v>
      </c>
      <c r="M120" s="15">
        <f t="shared" si="11"/>
        <v>8</v>
      </c>
      <c r="N120" s="8">
        <v>93</v>
      </c>
      <c r="O120" s="8">
        <v>93</v>
      </c>
      <c r="P120" s="15">
        <f t="shared" si="12"/>
        <v>9.3000000000000007</v>
      </c>
      <c r="Q120" s="10"/>
      <c r="R120" s="201" t="str">
        <f t="shared" si="13"/>
        <v>BAJO</v>
      </c>
      <c r="S120" s="202"/>
      <c r="T120" s="202"/>
      <c r="U120" s="203"/>
      <c r="V120" s="33">
        <f t="shared" si="14"/>
        <v>64.66</v>
      </c>
      <c r="W120" s="24"/>
      <c r="X120" s="10"/>
    </row>
    <row r="121" spans="1:24" ht="15.75" customHeight="1" x14ac:dyDescent="0.25">
      <c r="A121" s="38">
        <v>8</v>
      </c>
      <c r="B121" s="116" t="s">
        <v>233</v>
      </c>
      <c r="C121" s="26">
        <v>92</v>
      </c>
      <c r="D121" s="8">
        <v>67</v>
      </c>
      <c r="E121" s="8">
        <v>50</v>
      </c>
      <c r="F121" s="8"/>
      <c r="G121" s="8"/>
      <c r="H121" s="8"/>
      <c r="I121" s="8">
        <v>70</v>
      </c>
      <c r="J121" s="15">
        <f t="shared" si="10"/>
        <v>55.760000000000005</v>
      </c>
      <c r="K121" s="8">
        <v>91</v>
      </c>
      <c r="L121" s="8">
        <v>91</v>
      </c>
      <c r="M121" s="15">
        <f t="shared" si="11"/>
        <v>9.1</v>
      </c>
      <c r="N121" s="8">
        <v>98</v>
      </c>
      <c r="O121" s="8">
        <v>98</v>
      </c>
      <c r="P121" s="15">
        <f t="shared" si="12"/>
        <v>9.8000000000000007</v>
      </c>
      <c r="Q121" s="10"/>
      <c r="R121" s="201" t="str">
        <f t="shared" si="13"/>
        <v>BASICO</v>
      </c>
      <c r="S121" s="202"/>
      <c r="T121" s="202"/>
      <c r="U121" s="203"/>
      <c r="V121" s="33">
        <f t="shared" si="14"/>
        <v>74.66</v>
      </c>
      <c r="W121" s="24"/>
      <c r="X121" s="10"/>
    </row>
    <row r="122" spans="1:24" ht="15.75" customHeight="1" x14ac:dyDescent="0.25">
      <c r="A122" s="38">
        <v>9</v>
      </c>
      <c r="B122" s="116" t="s">
        <v>246</v>
      </c>
      <c r="C122" s="26">
        <v>44</v>
      </c>
      <c r="D122" s="8">
        <v>100</v>
      </c>
      <c r="E122" s="8">
        <v>93</v>
      </c>
      <c r="F122" s="8"/>
      <c r="G122" s="8"/>
      <c r="H122" s="8"/>
      <c r="I122" s="8">
        <v>60</v>
      </c>
      <c r="J122" s="15">
        <f t="shared" si="10"/>
        <v>61.679999999999993</v>
      </c>
      <c r="K122" s="8">
        <v>91</v>
      </c>
      <c r="L122" s="8">
        <v>91</v>
      </c>
      <c r="M122" s="15">
        <f t="shared" si="11"/>
        <v>9.1</v>
      </c>
      <c r="N122" s="8">
        <v>93</v>
      </c>
      <c r="O122" s="8">
        <v>93</v>
      </c>
      <c r="P122" s="15">
        <f t="shared" si="12"/>
        <v>9.3000000000000007</v>
      </c>
      <c r="Q122" s="10"/>
      <c r="R122" s="201" t="str">
        <f t="shared" si="13"/>
        <v>ALTO</v>
      </c>
      <c r="S122" s="202"/>
      <c r="T122" s="202"/>
      <c r="U122" s="203"/>
      <c r="V122" s="33">
        <f t="shared" si="14"/>
        <v>80.079999999999984</v>
      </c>
      <c r="W122" s="24"/>
      <c r="X122" s="10"/>
    </row>
    <row r="123" spans="1:24" ht="15.75" customHeight="1" x14ac:dyDescent="0.25">
      <c r="A123" s="38">
        <v>10</v>
      </c>
      <c r="B123" s="116" t="s">
        <v>263</v>
      </c>
      <c r="C123" s="26">
        <v>100</v>
      </c>
      <c r="D123" s="8">
        <v>80</v>
      </c>
      <c r="E123" s="8">
        <v>58</v>
      </c>
      <c r="F123" s="8"/>
      <c r="G123" s="8"/>
      <c r="H123" s="8"/>
      <c r="I123" s="8">
        <v>40</v>
      </c>
      <c r="J123" s="15">
        <f t="shared" si="10"/>
        <v>60.32</v>
      </c>
      <c r="K123" s="8">
        <v>94</v>
      </c>
      <c r="L123" s="8">
        <v>94</v>
      </c>
      <c r="M123" s="15">
        <f t="shared" si="11"/>
        <v>9.4</v>
      </c>
      <c r="N123" s="8">
        <v>100</v>
      </c>
      <c r="O123" s="8">
        <v>100</v>
      </c>
      <c r="P123" s="15">
        <f t="shared" si="12"/>
        <v>10</v>
      </c>
      <c r="Q123" s="10"/>
      <c r="R123" s="201" t="str">
        <f t="shared" si="13"/>
        <v>ALTO</v>
      </c>
      <c r="S123" s="202"/>
      <c r="T123" s="202"/>
      <c r="U123" s="203"/>
      <c r="V123" s="33">
        <f t="shared" si="14"/>
        <v>79.72</v>
      </c>
      <c r="W123" s="24"/>
      <c r="X123" s="10"/>
    </row>
    <row r="124" spans="1:24" ht="15.75" customHeight="1" x14ac:dyDescent="0.25">
      <c r="A124" s="38">
        <v>11</v>
      </c>
      <c r="B124" s="116" t="s">
        <v>145</v>
      </c>
      <c r="C124" s="26">
        <v>22</v>
      </c>
      <c r="D124" s="8">
        <v>28</v>
      </c>
      <c r="E124" s="8">
        <v>67</v>
      </c>
      <c r="F124" s="8"/>
      <c r="G124" s="8"/>
      <c r="H124" s="8"/>
      <c r="I124" s="8">
        <v>40</v>
      </c>
      <c r="J124" s="15">
        <f t="shared" si="10"/>
        <v>31.279999999999998</v>
      </c>
      <c r="K124" s="8">
        <v>73</v>
      </c>
      <c r="L124" s="8">
        <v>73</v>
      </c>
      <c r="M124" s="15">
        <f t="shared" si="11"/>
        <v>7.3000000000000007</v>
      </c>
      <c r="N124" s="8">
        <v>83</v>
      </c>
      <c r="O124" s="8">
        <v>83</v>
      </c>
      <c r="P124" s="15">
        <f t="shared" si="12"/>
        <v>8.3000000000000007</v>
      </c>
      <c r="Q124" s="10"/>
      <c r="R124" s="201" t="str">
        <f t="shared" si="13"/>
        <v>BAJO</v>
      </c>
      <c r="S124" s="202"/>
      <c r="T124" s="202"/>
      <c r="U124" s="203"/>
      <c r="V124" s="33">
        <f t="shared" si="14"/>
        <v>46.879999999999995</v>
      </c>
      <c r="W124" s="24"/>
      <c r="X124" s="10"/>
    </row>
    <row r="125" spans="1:24" ht="15.75" customHeight="1" x14ac:dyDescent="0.25">
      <c r="A125" s="38">
        <v>12</v>
      </c>
      <c r="B125" s="126" t="s">
        <v>158</v>
      </c>
      <c r="C125" s="26">
        <v>72</v>
      </c>
      <c r="D125" s="8">
        <v>83</v>
      </c>
      <c r="E125" s="8">
        <v>88</v>
      </c>
      <c r="F125" s="8"/>
      <c r="G125" s="8"/>
      <c r="H125" s="8"/>
      <c r="I125" s="8">
        <v>40</v>
      </c>
      <c r="J125" s="15">
        <f t="shared" si="10"/>
        <v>61.52</v>
      </c>
      <c r="K125" s="8">
        <v>99</v>
      </c>
      <c r="L125" s="8">
        <v>99</v>
      </c>
      <c r="M125" s="15">
        <f t="shared" si="11"/>
        <v>9.9</v>
      </c>
      <c r="N125" s="8">
        <v>84</v>
      </c>
      <c r="O125" s="8">
        <v>84</v>
      </c>
      <c r="P125" s="15">
        <f t="shared" si="12"/>
        <v>8.4</v>
      </c>
      <c r="Q125" s="10"/>
      <c r="R125" s="201" t="str">
        <f t="shared" si="13"/>
        <v>ALTO</v>
      </c>
      <c r="S125" s="202"/>
      <c r="T125" s="202"/>
      <c r="U125" s="203"/>
      <c r="V125" s="33">
        <f t="shared" si="14"/>
        <v>79.820000000000007</v>
      </c>
      <c r="W125" s="24"/>
      <c r="X125" s="10"/>
    </row>
    <row r="126" spans="1:24" ht="15.75" customHeight="1" x14ac:dyDescent="0.25">
      <c r="A126" s="38">
        <v>13</v>
      </c>
      <c r="B126" s="127" t="s">
        <v>146</v>
      </c>
      <c r="C126" s="26">
        <v>64</v>
      </c>
      <c r="D126" s="8">
        <v>55</v>
      </c>
      <c r="E126" s="8">
        <v>68</v>
      </c>
      <c r="F126" s="8"/>
      <c r="G126" s="8"/>
      <c r="H126" s="8"/>
      <c r="I126" s="8">
        <v>60</v>
      </c>
      <c r="J126" s="15">
        <f t="shared" si="10"/>
        <v>49.68</v>
      </c>
      <c r="K126" s="8">
        <v>70</v>
      </c>
      <c r="L126" s="8">
        <v>70</v>
      </c>
      <c r="M126" s="15">
        <f t="shared" si="11"/>
        <v>7</v>
      </c>
      <c r="N126" s="8">
        <v>86</v>
      </c>
      <c r="O126" s="8">
        <v>86</v>
      </c>
      <c r="P126" s="15">
        <f t="shared" si="12"/>
        <v>8.6</v>
      </c>
      <c r="Q126" s="10"/>
      <c r="R126" s="201" t="str">
        <f t="shared" si="13"/>
        <v>BASICO</v>
      </c>
      <c r="S126" s="202"/>
      <c r="T126" s="202"/>
      <c r="U126" s="203"/>
      <c r="V126" s="33">
        <f t="shared" si="14"/>
        <v>65.28</v>
      </c>
      <c r="W126" s="24"/>
      <c r="X126" s="10"/>
    </row>
    <row r="127" spans="1:24" ht="15.75" customHeight="1" x14ac:dyDescent="0.25">
      <c r="A127" s="38">
        <v>14</v>
      </c>
      <c r="B127" s="116" t="s">
        <v>805</v>
      </c>
      <c r="C127" s="26">
        <v>74</v>
      </c>
      <c r="D127" s="8">
        <v>69</v>
      </c>
      <c r="E127" s="8">
        <v>88</v>
      </c>
      <c r="F127" s="8"/>
      <c r="G127" s="8"/>
      <c r="H127" s="8"/>
      <c r="I127" s="8">
        <v>67</v>
      </c>
      <c r="J127" s="15">
        <f t="shared" si="10"/>
        <v>60.8</v>
      </c>
      <c r="K127" s="8">
        <v>99</v>
      </c>
      <c r="L127" s="8">
        <v>99</v>
      </c>
      <c r="M127" s="15">
        <f t="shared" si="11"/>
        <v>9.9</v>
      </c>
      <c r="N127" s="8">
        <v>94</v>
      </c>
      <c r="O127" s="8">
        <v>94</v>
      </c>
      <c r="P127" s="15">
        <f t="shared" si="12"/>
        <v>9.4</v>
      </c>
      <c r="Q127" s="10"/>
      <c r="R127" s="201" t="str">
        <f t="shared" si="13"/>
        <v>ALTO</v>
      </c>
      <c r="S127" s="202"/>
      <c r="T127" s="202"/>
      <c r="U127" s="203"/>
      <c r="V127" s="33">
        <f t="shared" si="14"/>
        <v>80.100000000000009</v>
      </c>
      <c r="W127" s="24"/>
      <c r="X127" s="10"/>
    </row>
    <row r="128" spans="1:24" ht="15.75" customHeight="1" x14ac:dyDescent="0.25">
      <c r="A128" s="38">
        <v>15</v>
      </c>
      <c r="B128" s="116" t="s">
        <v>159</v>
      </c>
      <c r="C128" s="26">
        <v>30</v>
      </c>
      <c r="D128" s="8">
        <v>69</v>
      </c>
      <c r="E128" s="8">
        <v>84</v>
      </c>
      <c r="F128" s="8"/>
      <c r="G128" s="8"/>
      <c r="H128" s="8"/>
      <c r="I128" s="8">
        <v>40</v>
      </c>
      <c r="J128" s="15">
        <f t="shared" si="10"/>
        <v>47.120000000000005</v>
      </c>
      <c r="K128" s="8">
        <v>91</v>
      </c>
      <c r="L128" s="8">
        <v>91</v>
      </c>
      <c r="M128" s="15">
        <f t="shared" si="11"/>
        <v>9.1</v>
      </c>
      <c r="N128" s="8">
        <v>85</v>
      </c>
      <c r="O128" s="8">
        <v>85</v>
      </c>
      <c r="P128" s="15">
        <f t="shared" si="12"/>
        <v>8.5</v>
      </c>
      <c r="Q128" s="10"/>
      <c r="R128" s="201" t="str">
        <f t="shared" si="13"/>
        <v>BAJO</v>
      </c>
      <c r="S128" s="202"/>
      <c r="T128" s="202"/>
      <c r="U128" s="203"/>
      <c r="V128" s="33">
        <f t="shared" si="14"/>
        <v>64.72</v>
      </c>
      <c r="W128" s="24"/>
      <c r="X128" s="10"/>
    </row>
    <row r="129" spans="1:24" ht="15.75" customHeight="1" x14ac:dyDescent="0.25">
      <c r="A129" s="38">
        <v>16</v>
      </c>
      <c r="B129" s="116" t="s">
        <v>264</v>
      </c>
      <c r="C129" s="26">
        <v>86</v>
      </c>
      <c r="D129" s="8">
        <v>34</v>
      </c>
      <c r="E129" s="8">
        <v>50</v>
      </c>
      <c r="F129" s="8"/>
      <c r="G129" s="8"/>
      <c r="H129" s="8"/>
      <c r="I129" s="8">
        <v>40</v>
      </c>
      <c r="J129" s="15">
        <f t="shared" si="10"/>
        <v>44</v>
      </c>
      <c r="K129" s="8">
        <v>80</v>
      </c>
      <c r="L129" s="8">
        <v>80</v>
      </c>
      <c r="M129" s="15">
        <f t="shared" si="11"/>
        <v>8</v>
      </c>
      <c r="N129" s="8">
        <v>78</v>
      </c>
      <c r="O129" s="8">
        <v>78</v>
      </c>
      <c r="P129" s="15">
        <f t="shared" si="12"/>
        <v>7.8000000000000007</v>
      </c>
      <c r="Q129" s="10"/>
      <c r="R129" s="201" t="str">
        <f t="shared" si="13"/>
        <v>BAJO</v>
      </c>
      <c r="S129" s="202"/>
      <c r="T129" s="202"/>
      <c r="U129" s="203"/>
      <c r="V129" s="33">
        <f t="shared" si="14"/>
        <v>59.8</v>
      </c>
      <c r="W129" s="24"/>
      <c r="X129" s="10"/>
    </row>
    <row r="130" spans="1:24" ht="15.75" customHeight="1" x14ac:dyDescent="0.25">
      <c r="A130" s="38">
        <v>17</v>
      </c>
      <c r="B130" s="116" t="s">
        <v>806</v>
      </c>
      <c r="C130" s="26">
        <v>65</v>
      </c>
      <c r="D130" s="8">
        <v>96</v>
      </c>
      <c r="E130" s="8">
        <v>33</v>
      </c>
      <c r="F130" s="8"/>
      <c r="G130" s="8"/>
      <c r="H130" s="8"/>
      <c r="I130" s="13">
        <v>40</v>
      </c>
      <c r="J130" s="15">
        <f t="shared" si="10"/>
        <v>49.760000000000005</v>
      </c>
      <c r="K130" s="8">
        <v>88</v>
      </c>
      <c r="L130" s="8">
        <v>88</v>
      </c>
      <c r="M130" s="15">
        <f t="shared" si="11"/>
        <v>8.8000000000000007</v>
      </c>
      <c r="N130" s="8">
        <v>93</v>
      </c>
      <c r="O130" s="8">
        <v>93</v>
      </c>
      <c r="P130" s="15">
        <f t="shared" si="12"/>
        <v>9.3000000000000007</v>
      </c>
      <c r="Q130" s="10"/>
      <c r="R130" s="201" t="str">
        <f t="shared" si="13"/>
        <v>BASICO</v>
      </c>
      <c r="S130" s="202"/>
      <c r="T130" s="202"/>
      <c r="U130" s="203"/>
      <c r="V130" s="33">
        <f t="shared" si="14"/>
        <v>67.86</v>
      </c>
      <c r="W130" s="24"/>
      <c r="X130" s="10"/>
    </row>
    <row r="131" spans="1:24" ht="15.75" customHeight="1" x14ac:dyDescent="0.25">
      <c r="A131" s="38">
        <v>18</v>
      </c>
      <c r="B131" s="116" t="s">
        <v>147</v>
      </c>
      <c r="C131" s="26">
        <v>76</v>
      </c>
      <c r="D131" s="8">
        <v>85</v>
      </c>
      <c r="E131" s="8">
        <v>80</v>
      </c>
      <c r="F131" s="8"/>
      <c r="G131" s="8"/>
      <c r="H131" s="8"/>
      <c r="I131" s="8">
        <v>40</v>
      </c>
      <c r="J131" s="15">
        <f t="shared" si="10"/>
        <v>61.04</v>
      </c>
      <c r="K131" s="8">
        <v>89</v>
      </c>
      <c r="L131" s="8">
        <v>89</v>
      </c>
      <c r="M131" s="15">
        <f t="shared" si="11"/>
        <v>8.9</v>
      </c>
      <c r="N131" s="8">
        <v>98</v>
      </c>
      <c r="O131" s="8">
        <v>98</v>
      </c>
      <c r="P131" s="15">
        <f t="shared" si="12"/>
        <v>9.8000000000000007</v>
      </c>
      <c r="Q131" s="10"/>
      <c r="R131" s="201" t="str">
        <f t="shared" si="13"/>
        <v>ALTO</v>
      </c>
      <c r="S131" s="202"/>
      <c r="T131" s="202"/>
      <c r="U131" s="203"/>
      <c r="V131" s="33">
        <f t="shared" si="14"/>
        <v>79.739999999999995</v>
      </c>
      <c r="W131" s="24"/>
      <c r="X131" s="10"/>
    </row>
    <row r="132" spans="1:24" ht="15.75" customHeight="1" x14ac:dyDescent="0.25">
      <c r="A132" s="38">
        <v>19</v>
      </c>
      <c r="B132" s="67" t="s">
        <v>209</v>
      </c>
      <c r="C132" s="26">
        <v>28</v>
      </c>
      <c r="D132" s="8">
        <v>43</v>
      </c>
      <c r="E132" s="8">
        <v>38</v>
      </c>
      <c r="F132" s="8"/>
      <c r="G132" s="8"/>
      <c r="H132" s="8"/>
      <c r="I132" s="8">
        <v>60</v>
      </c>
      <c r="J132" s="15">
        <f t="shared" si="10"/>
        <v>30.96</v>
      </c>
      <c r="K132" s="8">
        <v>90</v>
      </c>
      <c r="L132" s="8">
        <v>90</v>
      </c>
      <c r="M132" s="15">
        <f t="shared" si="11"/>
        <v>9</v>
      </c>
      <c r="N132" s="8">
        <v>98</v>
      </c>
      <c r="O132" s="8">
        <v>98</v>
      </c>
      <c r="P132" s="15">
        <f t="shared" si="12"/>
        <v>9.8000000000000007</v>
      </c>
      <c r="Q132" s="10"/>
      <c r="R132" s="201" t="str">
        <f t="shared" si="13"/>
        <v>BAJO</v>
      </c>
      <c r="S132" s="202"/>
      <c r="T132" s="202"/>
      <c r="U132" s="203"/>
      <c r="V132" s="33">
        <f t="shared" si="14"/>
        <v>49.760000000000005</v>
      </c>
      <c r="W132" s="24"/>
      <c r="X132" s="10"/>
    </row>
    <row r="133" spans="1:24" ht="15.75" customHeight="1" x14ac:dyDescent="0.25">
      <c r="A133" s="38">
        <v>20</v>
      </c>
      <c r="B133" s="116" t="s">
        <v>807</v>
      </c>
      <c r="C133" s="26">
        <v>28</v>
      </c>
      <c r="D133" s="8">
        <v>94</v>
      </c>
      <c r="E133" s="8">
        <v>100</v>
      </c>
      <c r="F133" s="8"/>
      <c r="G133" s="8"/>
      <c r="H133" s="8"/>
      <c r="I133" s="8">
        <v>40</v>
      </c>
      <c r="J133" s="15">
        <f t="shared" si="10"/>
        <v>56.480000000000004</v>
      </c>
      <c r="K133" s="8">
        <v>80</v>
      </c>
      <c r="L133" s="8">
        <v>80</v>
      </c>
      <c r="M133" s="15">
        <f t="shared" si="11"/>
        <v>8</v>
      </c>
      <c r="N133" s="8">
        <v>87</v>
      </c>
      <c r="O133" s="8">
        <v>87</v>
      </c>
      <c r="P133" s="15">
        <f t="shared" si="12"/>
        <v>8.7000000000000011</v>
      </c>
      <c r="Q133" s="10"/>
      <c r="R133" s="201" t="str">
        <f t="shared" si="13"/>
        <v>BASICO</v>
      </c>
      <c r="S133" s="202"/>
      <c r="T133" s="202"/>
      <c r="U133" s="203"/>
      <c r="V133" s="33">
        <f t="shared" si="14"/>
        <v>73.180000000000007</v>
      </c>
      <c r="W133" s="24"/>
      <c r="X133" s="10"/>
    </row>
    <row r="134" spans="1:24" ht="15.75" customHeight="1" x14ac:dyDescent="0.25">
      <c r="A134" s="38">
        <v>21</v>
      </c>
      <c r="B134" s="116" t="s">
        <v>431</v>
      </c>
      <c r="C134" s="26">
        <v>27</v>
      </c>
      <c r="D134" s="8">
        <v>64</v>
      </c>
      <c r="E134" s="8">
        <v>86</v>
      </c>
      <c r="F134" s="8"/>
      <c r="G134" s="8"/>
      <c r="H134" s="8"/>
      <c r="I134" s="8">
        <v>40</v>
      </c>
      <c r="J134" s="15">
        <f t="shared" si="10"/>
        <v>45.68</v>
      </c>
      <c r="K134" s="8">
        <v>96</v>
      </c>
      <c r="L134" s="8">
        <v>96</v>
      </c>
      <c r="M134" s="15">
        <f t="shared" si="11"/>
        <v>9.6000000000000014</v>
      </c>
      <c r="N134" s="8">
        <v>93</v>
      </c>
      <c r="O134" s="8">
        <v>93</v>
      </c>
      <c r="P134" s="15">
        <f t="shared" si="12"/>
        <v>9.3000000000000007</v>
      </c>
      <c r="Q134" s="10"/>
      <c r="R134" s="201" t="str">
        <f t="shared" si="13"/>
        <v>BAJO</v>
      </c>
      <c r="S134" s="202"/>
      <c r="T134" s="202"/>
      <c r="U134" s="203"/>
      <c r="V134" s="33">
        <f t="shared" si="14"/>
        <v>64.58</v>
      </c>
      <c r="W134" s="24"/>
      <c r="X134" s="10"/>
    </row>
    <row r="135" spans="1:24" ht="15.75" customHeight="1" x14ac:dyDescent="0.25">
      <c r="A135" s="38">
        <v>22</v>
      </c>
      <c r="B135" s="116" t="s">
        <v>432</v>
      </c>
      <c r="C135" s="26">
        <v>32</v>
      </c>
      <c r="D135" s="8">
        <v>45</v>
      </c>
      <c r="E135" s="8">
        <v>22</v>
      </c>
      <c r="F135" s="8"/>
      <c r="G135" s="8"/>
      <c r="H135" s="8"/>
      <c r="I135" s="8">
        <v>60</v>
      </c>
      <c r="J135" s="15">
        <f t="shared" si="10"/>
        <v>28.56</v>
      </c>
      <c r="K135" s="8">
        <v>95</v>
      </c>
      <c r="L135" s="8">
        <v>95</v>
      </c>
      <c r="M135" s="15">
        <f t="shared" si="11"/>
        <v>9.5</v>
      </c>
      <c r="N135" s="8">
        <v>85</v>
      </c>
      <c r="O135" s="8">
        <v>85</v>
      </c>
      <c r="P135" s="15">
        <f t="shared" si="12"/>
        <v>8.5</v>
      </c>
      <c r="Q135" s="10"/>
      <c r="R135" s="201" t="str">
        <f t="shared" si="13"/>
        <v>BAJO</v>
      </c>
      <c r="S135" s="202"/>
      <c r="T135" s="202"/>
      <c r="U135" s="203"/>
      <c r="V135" s="33">
        <f t="shared" si="14"/>
        <v>46.56</v>
      </c>
      <c r="W135" s="24"/>
      <c r="X135" s="10"/>
    </row>
    <row r="136" spans="1:24" ht="15.75" customHeight="1" x14ac:dyDescent="0.25">
      <c r="A136" s="38">
        <v>23</v>
      </c>
      <c r="B136" s="116" t="s">
        <v>160</v>
      </c>
      <c r="C136" s="26">
        <v>90</v>
      </c>
      <c r="D136" s="8">
        <v>74</v>
      </c>
      <c r="E136" s="8">
        <v>89</v>
      </c>
      <c r="F136" s="8"/>
      <c r="G136" s="8"/>
      <c r="H136" s="8"/>
      <c r="I136" s="8">
        <v>40</v>
      </c>
      <c r="J136" s="15">
        <f t="shared" si="10"/>
        <v>63.919999999999995</v>
      </c>
      <c r="K136" s="8">
        <v>85</v>
      </c>
      <c r="L136" s="8">
        <v>85</v>
      </c>
      <c r="M136" s="15">
        <f t="shared" si="11"/>
        <v>8.5</v>
      </c>
      <c r="N136" s="8">
        <v>80</v>
      </c>
      <c r="O136" s="8">
        <v>80</v>
      </c>
      <c r="P136" s="15">
        <f t="shared" si="12"/>
        <v>8</v>
      </c>
      <c r="Q136" s="10"/>
      <c r="R136" s="201" t="str">
        <f t="shared" si="13"/>
        <v>ALTO</v>
      </c>
      <c r="S136" s="202"/>
      <c r="T136" s="202"/>
      <c r="U136" s="203"/>
      <c r="V136" s="33">
        <f t="shared" si="14"/>
        <v>80.419999999999987</v>
      </c>
      <c r="W136" s="24"/>
      <c r="X136" s="10"/>
    </row>
    <row r="137" spans="1:24" ht="15.75" customHeight="1" x14ac:dyDescent="0.25">
      <c r="A137" s="38">
        <v>24</v>
      </c>
      <c r="B137" s="118" t="s">
        <v>174</v>
      </c>
      <c r="C137" s="26">
        <v>87</v>
      </c>
      <c r="D137" s="8">
        <v>72</v>
      </c>
      <c r="E137" s="8">
        <v>42</v>
      </c>
      <c r="F137" s="8"/>
      <c r="G137" s="8"/>
      <c r="H137" s="8"/>
      <c r="I137" s="8">
        <v>40</v>
      </c>
      <c r="J137" s="15">
        <f t="shared" si="10"/>
        <v>51.44</v>
      </c>
      <c r="K137" s="8">
        <v>98</v>
      </c>
      <c r="L137" s="8">
        <v>98</v>
      </c>
      <c r="M137" s="15">
        <f t="shared" si="11"/>
        <v>9.8000000000000007</v>
      </c>
      <c r="N137" s="8">
        <v>88</v>
      </c>
      <c r="O137" s="8">
        <v>88</v>
      </c>
      <c r="P137" s="15">
        <f t="shared" si="12"/>
        <v>8.8000000000000007</v>
      </c>
      <c r="Q137" s="10"/>
      <c r="R137" s="201" t="str">
        <f t="shared" si="13"/>
        <v>BASICO</v>
      </c>
      <c r="S137" s="202"/>
      <c r="T137" s="202"/>
      <c r="U137" s="203"/>
      <c r="V137" s="33">
        <f t="shared" si="14"/>
        <v>70.039999999999992</v>
      </c>
      <c r="W137" s="24"/>
      <c r="X137" s="10"/>
    </row>
    <row r="138" spans="1:24" ht="15.75" customHeight="1" x14ac:dyDescent="0.25">
      <c r="A138" s="38">
        <v>25</v>
      </c>
      <c r="B138" s="126" t="s">
        <v>916</v>
      </c>
      <c r="C138" s="26">
        <v>95</v>
      </c>
      <c r="D138" s="8">
        <v>96</v>
      </c>
      <c r="E138" s="8">
        <v>89</v>
      </c>
      <c r="F138" s="8"/>
      <c r="G138" s="8"/>
      <c r="H138" s="8"/>
      <c r="I138" s="8">
        <v>0</v>
      </c>
      <c r="J138" s="15">
        <f t="shared" si="10"/>
        <v>67.199999999999989</v>
      </c>
      <c r="K138" s="8">
        <v>95</v>
      </c>
      <c r="L138" s="8">
        <v>95</v>
      </c>
      <c r="M138" s="15">
        <f t="shared" si="11"/>
        <v>9.5</v>
      </c>
      <c r="N138" s="8">
        <v>87</v>
      </c>
      <c r="O138" s="8">
        <v>87</v>
      </c>
      <c r="P138" s="15">
        <f t="shared" si="12"/>
        <v>8.7000000000000011</v>
      </c>
      <c r="Q138" s="10"/>
      <c r="R138" s="201" t="str">
        <f t="shared" si="13"/>
        <v>ALTO</v>
      </c>
      <c r="S138" s="202"/>
      <c r="T138" s="202"/>
      <c r="U138" s="203"/>
      <c r="V138" s="33">
        <f t="shared" si="14"/>
        <v>85.399999999999991</v>
      </c>
      <c r="W138" s="24"/>
      <c r="X138" s="10"/>
    </row>
    <row r="139" spans="1:24" ht="15.75" customHeight="1" x14ac:dyDescent="0.25">
      <c r="A139" s="38">
        <v>26</v>
      </c>
      <c r="B139" s="126" t="s">
        <v>917</v>
      </c>
      <c r="C139" s="26">
        <v>77</v>
      </c>
      <c r="D139" s="8">
        <v>67</v>
      </c>
      <c r="E139" s="8">
        <v>98</v>
      </c>
      <c r="F139" s="8"/>
      <c r="G139" s="8"/>
      <c r="H139" s="8"/>
      <c r="I139" s="8">
        <v>40</v>
      </c>
      <c r="J139" s="15">
        <f t="shared" si="10"/>
        <v>61.28</v>
      </c>
      <c r="K139" s="8">
        <v>99</v>
      </c>
      <c r="L139" s="8">
        <v>99</v>
      </c>
      <c r="M139" s="15">
        <f t="shared" si="11"/>
        <v>9.9</v>
      </c>
      <c r="N139" s="8">
        <v>92</v>
      </c>
      <c r="O139" s="8">
        <v>92</v>
      </c>
      <c r="P139" s="15">
        <f t="shared" si="12"/>
        <v>9.2000000000000011</v>
      </c>
      <c r="Q139" s="10"/>
      <c r="R139" s="201" t="str">
        <f t="shared" si="13"/>
        <v>ALTO</v>
      </c>
      <c r="S139" s="202"/>
      <c r="T139" s="202"/>
      <c r="U139" s="203"/>
      <c r="V139" s="33">
        <f t="shared" si="14"/>
        <v>80.38000000000001</v>
      </c>
      <c r="W139" s="24"/>
      <c r="X139" s="10"/>
    </row>
    <row r="140" spans="1:24" ht="15.75" customHeight="1" x14ac:dyDescent="0.25">
      <c r="A140" s="38">
        <v>27</v>
      </c>
      <c r="B140" s="116" t="s">
        <v>268</v>
      </c>
      <c r="C140" s="26">
        <v>97</v>
      </c>
      <c r="D140" s="8">
        <v>85</v>
      </c>
      <c r="E140" s="8">
        <v>86</v>
      </c>
      <c r="F140" s="8"/>
      <c r="G140" s="8"/>
      <c r="H140" s="8"/>
      <c r="I140" s="8">
        <v>40</v>
      </c>
      <c r="J140" s="15">
        <f t="shared" si="10"/>
        <v>67.52</v>
      </c>
      <c r="K140" s="8">
        <v>85</v>
      </c>
      <c r="L140" s="8">
        <v>85</v>
      </c>
      <c r="M140" s="15">
        <f t="shared" si="11"/>
        <v>8.5</v>
      </c>
      <c r="N140" s="8">
        <v>76</v>
      </c>
      <c r="O140" s="8">
        <v>76</v>
      </c>
      <c r="P140" s="15">
        <f t="shared" si="12"/>
        <v>7.6000000000000005</v>
      </c>
      <c r="Q140" s="10"/>
      <c r="R140" s="201" t="str">
        <f t="shared" si="13"/>
        <v>ALTO</v>
      </c>
      <c r="S140" s="202"/>
      <c r="T140" s="202"/>
      <c r="U140" s="203"/>
      <c r="V140" s="33">
        <f t="shared" si="14"/>
        <v>83.61999999999999</v>
      </c>
      <c r="W140" s="24"/>
      <c r="X140" s="10"/>
    </row>
    <row r="141" spans="1:24" ht="15.75" customHeight="1" x14ac:dyDescent="0.25">
      <c r="A141" s="38">
        <v>28</v>
      </c>
      <c r="B141" s="116" t="s">
        <v>269</v>
      </c>
      <c r="C141" s="26">
        <v>21</v>
      </c>
      <c r="D141" s="8">
        <v>39</v>
      </c>
      <c r="E141" s="8">
        <v>52</v>
      </c>
      <c r="F141" s="8"/>
      <c r="G141" s="8"/>
      <c r="H141" s="8"/>
      <c r="I141" s="8">
        <v>40</v>
      </c>
      <c r="J141" s="15">
        <f t="shared" si="10"/>
        <v>30.08</v>
      </c>
      <c r="K141" s="8">
        <v>95</v>
      </c>
      <c r="L141" s="8">
        <v>95</v>
      </c>
      <c r="M141" s="15">
        <f t="shared" si="11"/>
        <v>9.5</v>
      </c>
      <c r="N141" s="8">
        <v>78</v>
      </c>
      <c r="O141" s="8">
        <v>78</v>
      </c>
      <c r="P141" s="15">
        <f t="shared" si="12"/>
        <v>7.8000000000000007</v>
      </c>
      <c r="Q141" s="10"/>
      <c r="R141" s="201" t="str">
        <f t="shared" si="13"/>
        <v>BAJO</v>
      </c>
      <c r="S141" s="202"/>
      <c r="T141" s="202"/>
      <c r="U141" s="203"/>
      <c r="V141" s="33">
        <f t="shared" si="14"/>
        <v>47.379999999999995</v>
      </c>
      <c r="W141" s="24"/>
      <c r="X141" s="10"/>
    </row>
    <row r="142" spans="1:24" ht="15.75" customHeight="1" x14ac:dyDescent="0.25">
      <c r="A142" s="38">
        <v>29</v>
      </c>
      <c r="B142" s="116" t="s">
        <v>808</v>
      </c>
      <c r="C142" s="26">
        <v>83</v>
      </c>
      <c r="D142" s="8">
        <v>67</v>
      </c>
      <c r="E142" s="8">
        <v>57</v>
      </c>
      <c r="F142" s="8"/>
      <c r="G142" s="8"/>
      <c r="H142" s="8"/>
      <c r="I142" s="8">
        <v>40</v>
      </c>
      <c r="J142" s="15">
        <f t="shared" si="10"/>
        <v>52.88</v>
      </c>
      <c r="K142" s="8">
        <v>83</v>
      </c>
      <c r="L142" s="8">
        <v>83</v>
      </c>
      <c r="M142" s="15">
        <f t="shared" si="11"/>
        <v>8.3000000000000007</v>
      </c>
      <c r="N142" s="8">
        <v>91</v>
      </c>
      <c r="O142" s="8">
        <v>91</v>
      </c>
      <c r="P142" s="15">
        <f t="shared" si="12"/>
        <v>9.1</v>
      </c>
      <c r="Q142" s="10"/>
      <c r="R142" s="201" t="str">
        <f t="shared" si="13"/>
        <v>BASICO</v>
      </c>
      <c r="S142" s="202"/>
      <c r="T142" s="202"/>
      <c r="U142" s="203"/>
      <c r="V142" s="33">
        <f t="shared" si="14"/>
        <v>70.28</v>
      </c>
      <c r="W142" s="24"/>
      <c r="X142" s="10"/>
    </row>
    <row r="143" spans="1:24" ht="15.75" customHeight="1" x14ac:dyDescent="0.25">
      <c r="A143" s="38">
        <v>30</v>
      </c>
      <c r="B143" s="116" t="s">
        <v>809</v>
      </c>
      <c r="C143" s="26">
        <v>81</v>
      </c>
      <c r="D143" s="8">
        <v>50</v>
      </c>
      <c r="E143" s="8">
        <v>52</v>
      </c>
      <c r="F143" s="8"/>
      <c r="G143" s="8"/>
      <c r="H143" s="8"/>
      <c r="I143" s="8">
        <v>40</v>
      </c>
      <c r="J143" s="15">
        <f t="shared" si="10"/>
        <v>47.120000000000005</v>
      </c>
      <c r="K143" s="8">
        <v>92</v>
      </c>
      <c r="L143" s="8">
        <v>92</v>
      </c>
      <c r="M143" s="15">
        <f t="shared" si="11"/>
        <v>9.2000000000000011</v>
      </c>
      <c r="N143" s="8">
        <v>89</v>
      </c>
      <c r="O143" s="8">
        <v>89</v>
      </c>
      <c r="P143" s="15">
        <f t="shared" si="12"/>
        <v>8.9</v>
      </c>
      <c r="Q143" s="10"/>
      <c r="R143" s="201" t="str">
        <f t="shared" si="13"/>
        <v>BASICO</v>
      </c>
      <c r="S143" s="202"/>
      <c r="T143" s="202"/>
      <c r="U143" s="203"/>
      <c r="V143" s="33">
        <f t="shared" si="14"/>
        <v>65.220000000000013</v>
      </c>
      <c r="W143" s="24"/>
      <c r="X143" s="10"/>
    </row>
    <row r="144" spans="1:24" ht="15.75" customHeight="1" x14ac:dyDescent="0.25">
      <c r="A144" s="38">
        <v>31</v>
      </c>
      <c r="B144" s="116" t="s">
        <v>161</v>
      </c>
      <c r="C144" s="34">
        <v>98</v>
      </c>
      <c r="D144" s="13">
        <v>91</v>
      </c>
      <c r="E144" s="13">
        <v>50</v>
      </c>
      <c r="F144" s="8"/>
      <c r="G144" s="8"/>
      <c r="H144" s="8"/>
      <c r="I144" s="8">
        <v>40</v>
      </c>
      <c r="J144" s="15">
        <f t="shared" si="10"/>
        <v>60.56</v>
      </c>
      <c r="K144" s="8">
        <v>97</v>
      </c>
      <c r="L144" s="8">
        <v>97</v>
      </c>
      <c r="M144" s="15">
        <f t="shared" si="11"/>
        <v>9.7000000000000011</v>
      </c>
      <c r="N144" s="8">
        <v>99</v>
      </c>
      <c r="O144" s="8">
        <v>99</v>
      </c>
      <c r="P144" s="15">
        <f t="shared" si="12"/>
        <v>9.9</v>
      </c>
      <c r="Q144" s="10"/>
      <c r="R144" s="201" t="str">
        <f t="shared" si="13"/>
        <v>ALTO</v>
      </c>
      <c r="S144" s="202"/>
      <c r="T144" s="202"/>
      <c r="U144" s="203"/>
      <c r="V144" s="33">
        <f t="shared" si="14"/>
        <v>80.160000000000011</v>
      </c>
      <c r="W144" s="24"/>
      <c r="X144" s="10"/>
    </row>
    <row r="145" spans="1:24" ht="15.75" customHeight="1" x14ac:dyDescent="0.25">
      <c r="A145" s="38">
        <v>32</v>
      </c>
      <c r="B145" s="126" t="s">
        <v>910</v>
      </c>
      <c r="C145" s="138">
        <v>93</v>
      </c>
      <c r="D145" s="136">
        <v>71</v>
      </c>
      <c r="E145" s="136">
        <v>100</v>
      </c>
      <c r="F145" s="26"/>
      <c r="G145" s="8"/>
      <c r="H145" s="8"/>
      <c r="I145" s="8">
        <v>40</v>
      </c>
      <c r="J145" s="15">
        <f t="shared" si="10"/>
        <v>66.56</v>
      </c>
      <c r="K145" s="8">
        <v>90</v>
      </c>
      <c r="L145" s="8">
        <v>90</v>
      </c>
      <c r="M145" s="15">
        <f t="shared" si="11"/>
        <v>9</v>
      </c>
      <c r="N145" s="8">
        <v>95</v>
      </c>
      <c r="O145" s="8">
        <v>95</v>
      </c>
      <c r="P145" s="15">
        <f t="shared" si="12"/>
        <v>9.5</v>
      </c>
      <c r="Q145" s="10"/>
      <c r="R145" s="201" t="str">
        <f t="shared" si="13"/>
        <v>ALTO</v>
      </c>
      <c r="S145" s="202"/>
      <c r="T145" s="202"/>
      <c r="U145" s="203"/>
      <c r="V145" s="33">
        <f t="shared" si="14"/>
        <v>85.06</v>
      </c>
      <c r="W145" s="24"/>
      <c r="X145" s="10"/>
    </row>
    <row r="146" spans="1:24" ht="15.75" customHeight="1" x14ac:dyDescent="0.25">
      <c r="A146" s="38">
        <v>33</v>
      </c>
      <c r="B146" s="127" t="s">
        <v>810</v>
      </c>
      <c r="C146" s="26">
        <v>73</v>
      </c>
      <c r="D146" s="8">
        <v>73</v>
      </c>
      <c r="E146" s="8">
        <v>73</v>
      </c>
      <c r="F146" s="8"/>
      <c r="G146" s="8"/>
      <c r="H146" s="8"/>
      <c r="I146" s="8">
        <v>60</v>
      </c>
      <c r="J146" s="15" t="e">
        <f>((AVERAGE(F146:H146))*72%)+I146*8%</f>
        <v>#DIV/0!</v>
      </c>
      <c r="K146" s="8">
        <v>65</v>
      </c>
      <c r="L146" s="8">
        <v>65</v>
      </c>
      <c r="M146" s="15">
        <f t="shared" si="11"/>
        <v>6.5</v>
      </c>
      <c r="N146" s="8">
        <v>65</v>
      </c>
      <c r="O146" s="8">
        <v>65</v>
      </c>
      <c r="P146" s="15">
        <f t="shared" si="12"/>
        <v>6.5</v>
      </c>
      <c r="Q146" s="10"/>
      <c r="R146" s="201" t="e">
        <f t="shared" si="13"/>
        <v>#DIV/0!</v>
      </c>
      <c r="S146" s="202"/>
      <c r="T146" s="202"/>
      <c r="U146" s="203"/>
      <c r="V146" s="33" t="e">
        <f t="shared" si="14"/>
        <v>#DIV/0!</v>
      </c>
      <c r="W146" s="24"/>
      <c r="X146" s="10"/>
    </row>
    <row r="147" spans="1:24" ht="15.75" customHeight="1" x14ac:dyDescent="0.25">
      <c r="A147" s="38">
        <v>34</v>
      </c>
      <c r="B147" s="116" t="s">
        <v>273</v>
      </c>
      <c r="C147" s="26">
        <v>95</v>
      </c>
      <c r="D147" s="8">
        <v>92</v>
      </c>
      <c r="E147" s="8">
        <v>82</v>
      </c>
      <c r="F147" s="8"/>
      <c r="G147" s="8"/>
      <c r="H147" s="8"/>
      <c r="I147" s="8">
        <v>40</v>
      </c>
      <c r="J147" s="15">
        <f t="shared" si="10"/>
        <v>67.760000000000005</v>
      </c>
      <c r="K147" s="8">
        <v>95</v>
      </c>
      <c r="L147" s="8">
        <v>95</v>
      </c>
      <c r="M147" s="15">
        <f t="shared" si="11"/>
        <v>9.5</v>
      </c>
      <c r="N147" s="8">
        <v>80</v>
      </c>
      <c r="O147" s="8">
        <v>80</v>
      </c>
      <c r="P147" s="15">
        <f t="shared" si="12"/>
        <v>8</v>
      </c>
      <c r="Q147" s="10"/>
      <c r="R147" s="201" t="str">
        <f t="shared" si="13"/>
        <v>ALTO</v>
      </c>
      <c r="S147" s="202"/>
      <c r="T147" s="202"/>
      <c r="U147" s="203"/>
      <c r="V147" s="33">
        <f t="shared" si="14"/>
        <v>85.26</v>
      </c>
      <c r="W147" s="24"/>
      <c r="X147" s="10"/>
    </row>
    <row r="148" spans="1:24" ht="15.75" customHeight="1" x14ac:dyDescent="0.25">
      <c r="A148" s="38">
        <v>35</v>
      </c>
      <c r="B148" s="116" t="s">
        <v>811</v>
      </c>
      <c r="C148" s="26">
        <v>75</v>
      </c>
      <c r="D148" s="8">
        <v>94</v>
      </c>
      <c r="E148" s="8">
        <v>91</v>
      </c>
      <c r="F148" s="8"/>
      <c r="G148" s="8"/>
      <c r="H148" s="8"/>
      <c r="I148" s="8">
        <v>40</v>
      </c>
      <c r="J148" s="15">
        <f t="shared" si="10"/>
        <v>65.599999999999994</v>
      </c>
      <c r="K148" s="8">
        <v>93</v>
      </c>
      <c r="L148" s="8">
        <v>93</v>
      </c>
      <c r="M148" s="15">
        <f t="shared" si="11"/>
        <v>9.3000000000000007</v>
      </c>
      <c r="N148" s="8">
        <v>99</v>
      </c>
      <c r="O148" s="8">
        <v>99</v>
      </c>
      <c r="P148" s="15">
        <f t="shared" si="12"/>
        <v>9.9</v>
      </c>
      <c r="Q148" s="10"/>
      <c r="R148" s="201" t="str">
        <f t="shared" si="13"/>
        <v>ALTO</v>
      </c>
      <c r="S148" s="202"/>
      <c r="T148" s="202"/>
      <c r="U148" s="203"/>
      <c r="V148" s="33">
        <f t="shared" si="14"/>
        <v>84.8</v>
      </c>
      <c r="W148" s="24"/>
      <c r="X148" s="10"/>
    </row>
    <row r="149" spans="1:24" ht="15.75" customHeight="1" x14ac:dyDescent="0.25">
      <c r="A149" s="38">
        <v>36</v>
      </c>
      <c r="B149" s="116" t="s">
        <v>433</v>
      </c>
      <c r="C149" s="26">
        <v>28</v>
      </c>
      <c r="D149" s="8">
        <v>85</v>
      </c>
      <c r="E149" s="8">
        <v>88</v>
      </c>
      <c r="F149" s="8"/>
      <c r="G149" s="8"/>
      <c r="H149" s="8"/>
      <c r="I149" s="8">
        <v>40</v>
      </c>
      <c r="J149" s="15">
        <f t="shared" si="10"/>
        <v>51.44</v>
      </c>
      <c r="K149" s="8">
        <v>99</v>
      </c>
      <c r="L149" s="8">
        <v>99</v>
      </c>
      <c r="M149" s="15">
        <f t="shared" si="11"/>
        <v>9.9</v>
      </c>
      <c r="N149" s="8">
        <v>86</v>
      </c>
      <c r="O149" s="8">
        <v>86</v>
      </c>
      <c r="P149" s="15">
        <f t="shared" si="12"/>
        <v>8.6</v>
      </c>
      <c r="Q149" s="10"/>
      <c r="R149" s="201" t="str">
        <f t="shared" si="13"/>
        <v>BASICO</v>
      </c>
      <c r="S149" s="202"/>
      <c r="T149" s="202"/>
      <c r="U149" s="203"/>
      <c r="V149" s="33">
        <f t="shared" si="14"/>
        <v>69.94</v>
      </c>
      <c r="W149" s="24"/>
      <c r="X149" s="10"/>
    </row>
    <row r="150" spans="1:24" ht="15.75" customHeight="1" x14ac:dyDescent="0.25">
      <c r="A150" s="38">
        <v>37</v>
      </c>
      <c r="B150" s="116" t="s">
        <v>918</v>
      </c>
      <c r="C150" s="26">
        <v>100</v>
      </c>
      <c r="D150" s="8">
        <v>100</v>
      </c>
      <c r="E150" s="8">
        <v>100</v>
      </c>
      <c r="F150" s="8"/>
      <c r="G150" s="8"/>
      <c r="H150" s="8"/>
      <c r="I150" s="8">
        <v>40</v>
      </c>
      <c r="J150" s="15">
        <f t="shared" si="10"/>
        <v>75.2</v>
      </c>
      <c r="K150" s="8">
        <v>65</v>
      </c>
      <c r="L150" s="8">
        <v>65</v>
      </c>
      <c r="M150" s="15">
        <f t="shared" si="11"/>
        <v>6.5</v>
      </c>
      <c r="N150" s="8">
        <v>65</v>
      </c>
      <c r="O150" s="8">
        <v>65</v>
      </c>
      <c r="P150" s="15">
        <f t="shared" si="12"/>
        <v>6.5</v>
      </c>
      <c r="Q150" s="10"/>
      <c r="R150" s="201" t="str">
        <f t="shared" si="13"/>
        <v>ALTO</v>
      </c>
      <c r="S150" s="202"/>
      <c r="T150" s="202"/>
      <c r="U150" s="203"/>
      <c r="V150" s="33">
        <f t="shared" si="14"/>
        <v>88.2</v>
      </c>
      <c r="W150" s="24"/>
      <c r="X150" s="10"/>
    </row>
    <row r="151" spans="1:24" ht="15.75" customHeight="1" x14ac:dyDescent="0.25">
      <c r="A151" s="38">
        <v>38</v>
      </c>
      <c r="B151" s="116" t="s">
        <v>163</v>
      </c>
      <c r="C151" s="26">
        <v>58</v>
      </c>
      <c r="D151" s="8">
        <v>90</v>
      </c>
      <c r="E151" s="8">
        <v>62</v>
      </c>
      <c r="F151" s="8"/>
      <c r="G151" s="8"/>
      <c r="H151" s="8"/>
      <c r="I151" s="8">
        <v>40</v>
      </c>
      <c r="J151" s="15">
        <f t="shared" si="10"/>
        <v>53.6</v>
      </c>
      <c r="K151" s="8">
        <v>85</v>
      </c>
      <c r="L151" s="8">
        <v>85</v>
      </c>
      <c r="M151" s="15">
        <f t="shared" si="11"/>
        <v>8.5</v>
      </c>
      <c r="N151" s="8">
        <v>83</v>
      </c>
      <c r="O151" s="8">
        <v>83</v>
      </c>
      <c r="P151" s="15">
        <f t="shared" si="12"/>
        <v>8.3000000000000007</v>
      </c>
      <c r="Q151" s="10"/>
      <c r="R151" s="201" t="str">
        <f t="shared" si="13"/>
        <v>BASICO</v>
      </c>
      <c r="S151" s="202"/>
      <c r="T151" s="202"/>
      <c r="U151" s="203"/>
      <c r="V151" s="33">
        <f t="shared" si="14"/>
        <v>70.400000000000006</v>
      </c>
      <c r="W151" s="24"/>
      <c r="X151" s="10"/>
    </row>
    <row r="152" spans="1:24" ht="15.75" customHeight="1" x14ac:dyDescent="0.25">
      <c r="A152" s="38">
        <v>39</v>
      </c>
      <c r="B152" s="126" t="s">
        <v>911</v>
      </c>
      <c r="C152" s="26">
        <v>56</v>
      </c>
      <c r="D152" s="8">
        <v>76</v>
      </c>
      <c r="E152" s="8">
        <v>86</v>
      </c>
      <c r="F152" s="8"/>
      <c r="G152" s="8"/>
      <c r="H152" s="8"/>
      <c r="I152" s="8">
        <v>40</v>
      </c>
      <c r="J152" s="15">
        <f t="shared" si="10"/>
        <v>55.52</v>
      </c>
      <c r="K152" s="8">
        <v>86</v>
      </c>
      <c r="L152" s="8">
        <v>86</v>
      </c>
      <c r="M152" s="15">
        <f t="shared" si="11"/>
        <v>8.6</v>
      </c>
      <c r="N152" s="8">
        <v>97</v>
      </c>
      <c r="O152" s="8">
        <v>97</v>
      </c>
      <c r="P152" s="15">
        <f t="shared" si="12"/>
        <v>9.7000000000000011</v>
      </c>
      <c r="Q152" s="10"/>
      <c r="R152" s="201" t="str">
        <f t="shared" si="13"/>
        <v>BASICO</v>
      </c>
      <c r="S152" s="202"/>
      <c r="T152" s="202"/>
      <c r="U152" s="203"/>
      <c r="V152" s="33">
        <f t="shared" si="14"/>
        <v>73.820000000000007</v>
      </c>
      <c r="W152" s="24"/>
      <c r="X152" s="10"/>
    </row>
    <row r="153" spans="1:24" ht="15.75" customHeight="1" x14ac:dyDescent="0.25">
      <c r="A153" s="38">
        <v>40</v>
      </c>
      <c r="B153" s="126"/>
      <c r="C153" s="26"/>
      <c r="D153" s="8"/>
      <c r="E153" s="8"/>
      <c r="F153" s="8"/>
      <c r="G153" s="8"/>
      <c r="H153" s="8"/>
      <c r="I153" s="8"/>
      <c r="J153" s="15" t="e">
        <f t="shared" si="10"/>
        <v>#DIV/0!</v>
      </c>
      <c r="K153" s="8"/>
      <c r="L153" s="8"/>
      <c r="M153" s="15" t="e">
        <f t="shared" si="11"/>
        <v>#DIV/0!</v>
      </c>
      <c r="N153" s="8"/>
      <c r="O153" s="8"/>
      <c r="P153" s="15" t="e">
        <f t="shared" si="12"/>
        <v>#DIV/0!</v>
      </c>
      <c r="Q153" s="10"/>
      <c r="R153" s="201" t="e">
        <f t="shared" si="13"/>
        <v>#DIV/0!</v>
      </c>
      <c r="S153" s="202"/>
      <c r="T153" s="202"/>
      <c r="U153" s="203"/>
      <c r="V153" s="33" t="e">
        <f t="shared" si="14"/>
        <v>#DIV/0!</v>
      </c>
      <c r="W153" s="24"/>
      <c r="X153" s="10"/>
    </row>
    <row r="154" spans="1:24" ht="15.75" customHeight="1" x14ac:dyDescent="0.25">
      <c r="A154" s="38">
        <v>41</v>
      </c>
      <c r="B154" s="126"/>
      <c r="C154" s="139"/>
      <c r="D154" s="135"/>
      <c r="E154" s="135"/>
      <c r="F154" s="26"/>
      <c r="G154" s="8"/>
      <c r="H154" s="8"/>
      <c r="I154" s="8"/>
      <c r="J154" s="15" t="e">
        <f>((AVERAGE(F154:H154))*72%)+I154*8%</f>
        <v>#DIV/0!</v>
      </c>
      <c r="K154" s="8"/>
      <c r="L154" s="8"/>
      <c r="M154" s="15" t="e">
        <f t="shared" si="11"/>
        <v>#DIV/0!</v>
      </c>
      <c r="N154" s="8"/>
      <c r="O154" s="8"/>
      <c r="P154" s="15" t="e">
        <f t="shared" si="12"/>
        <v>#DIV/0!</v>
      </c>
      <c r="Q154" s="10"/>
      <c r="R154" s="201" t="e">
        <f t="shared" si="13"/>
        <v>#DIV/0!</v>
      </c>
      <c r="S154" s="202"/>
      <c r="T154" s="202"/>
      <c r="U154" s="203"/>
      <c r="V154" s="33" t="e">
        <f t="shared" si="14"/>
        <v>#DIV/0!</v>
      </c>
      <c r="W154" s="24"/>
      <c r="X154" s="10"/>
    </row>
    <row r="155" spans="1:24" ht="15.75" customHeight="1" x14ac:dyDescent="0.25">
      <c r="A155" s="38">
        <v>42</v>
      </c>
      <c r="B155" s="137"/>
      <c r="C155" s="140"/>
      <c r="D155" s="9"/>
      <c r="E155" s="9"/>
      <c r="F155" s="8"/>
      <c r="G155" s="8"/>
      <c r="H155" s="8"/>
      <c r="I155" s="8"/>
      <c r="J155" s="15" t="e">
        <f t="shared" si="10"/>
        <v>#DIV/0!</v>
      </c>
      <c r="K155" s="8"/>
      <c r="L155" s="8"/>
      <c r="M155" s="15" t="e">
        <f t="shared" si="11"/>
        <v>#DIV/0!</v>
      </c>
      <c r="N155" s="8"/>
      <c r="O155" s="8"/>
      <c r="P155" s="15" t="e">
        <f t="shared" si="12"/>
        <v>#DIV/0!</v>
      </c>
      <c r="Q155" s="10"/>
      <c r="R155" s="201" t="e">
        <f t="shared" si="13"/>
        <v>#DIV/0!</v>
      </c>
      <c r="S155" s="202"/>
      <c r="T155" s="202"/>
      <c r="U155" s="203"/>
      <c r="V155" s="33" t="e">
        <f t="shared" si="14"/>
        <v>#DIV/0!</v>
      </c>
      <c r="W155" s="24"/>
      <c r="X155" s="10"/>
    </row>
    <row r="156" spans="1:24" ht="15.75" customHeight="1" x14ac:dyDescent="0.25">
      <c r="A156" s="38">
        <v>43</v>
      </c>
      <c r="B156" s="101" t="s">
        <v>61</v>
      </c>
      <c r="C156" s="26"/>
      <c r="D156" s="8"/>
      <c r="E156" s="8"/>
      <c r="F156" s="8"/>
      <c r="G156" s="8"/>
      <c r="H156" s="8"/>
      <c r="I156" s="8"/>
      <c r="J156" s="15" t="e">
        <f t="shared" si="10"/>
        <v>#DIV/0!</v>
      </c>
      <c r="K156" s="8"/>
      <c r="L156" s="8"/>
      <c r="M156" s="15" t="e">
        <f t="shared" si="11"/>
        <v>#DIV/0!</v>
      </c>
      <c r="N156" s="8"/>
      <c r="O156" s="8"/>
      <c r="P156" s="15" t="e">
        <f t="shared" si="12"/>
        <v>#DIV/0!</v>
      </c>
      <c r="Q156" s="10"/>
      <c r="R156" s="201" t="e">
        <f t="shared" si="13"/>
        <v>#DIV/0!</v>
      </c>
      <c r="S156" s="202"/>
      <c r="T156" s="202"/>
      <c r="U156" s="203"/>
      <c r="V156" s="33" t="e">
        <f t="shared" si="14"/>
        <v>#DIV/0!</v>
      </c>
      <c r="W156" s="24"/>
      <c r="X156" s="10"/>
    </row>
    <row r="157" spans="1:24" ht="15.75" customHeight="1" x14ac:dyDescent="0.25">
      <c r="A157" s="38">
        <v>44</v>
      </c>
      <c r="B157" s="101"/>
      <c r="C157" s="26"/>
      <c r="D157" s="8"/>
      <c r="E157" s="8"/>
      <c r="F157" s="8"/>
      <c r="G157" s="8"/>
      <c r="H157" s="8"/>
      <c r="I157" s="8"/>
      <c r="J157" s="15" t="e">
        <f t="shared" si="10"/>
        <v>#DIV/0!</v>
      </c>
      <c r="K157" s="8"/>
      <c r="L157" s="8"/>
      <c r="M157" s="15" t="e">
        <f t="shared" si="11"/>
        <v>#DIV/0!</v>
      </c>
      <c r="N157" s="8"/>
      <c r="O157" s="8"/>
      <c r="P157" s="15" t="e">
        <f t="shared" si="12"/>
        <v>#DIV/0!</v>
      </c>
      <c r="Q157" s="10"/>
      <c r="R157" s="201" t="e">
        <f t="shared" si="13"/>
        <v>#DIV/0!</v>
      </c>
      <c r="S157" s="202"/>
      <c r="T157" s="202"/>
      <c r="U157" s="203"/>
      <c r="V157" s="33" t="e">
        <f t="shared" si="14"/>
        <v>#DIV/0!</v>
      </c>
      <c r="W157" s="24"/>
      <c r="X157" s="10"/>
    </row>
    <row r="158" spans="1:24" ht="15.75" customHeight="1" x14ac:dyDescent="0.25">
      <c r="A158" s="38">
        <v>45</v>
      </c>
      <c r="B158" s="101"/>
      <c r="C158" s="26"/>
      <c r="D158" s="8"/>
      <c r="E158" s="8"/>
      <c r="F158" s="8"/>
      <c r="G158" s="8"/>
      <c r="H158" s="8"/>
      <c r="I158" s="8"/>
      <c r="J158" s="15" t="e">
        <f t="shared" si="10"/>
        <v>#DIV/0!</v>
      </c>
      <c r="K158" s="8"/>
      <c r="L158" s="8"/>
      <c r="M158" s="15" t="e">
        <f t="shared" si="11"/>
        <v>#DIV/0!</v>
      </c>
      <c r="N158" s="8"/>
      <c r="O158" s="8"/>
      <c r="P158" s="15" t="e">
        <f t="shared" si="12"/>
        <v>#DIV/0!</v>
      </c>
      <c r="Q158" s="10"/>
      <c r="R158" s="201" t="e">
        <f t="shared" si="13"/>
        <v>#DIV/0!</v>
      </c>
      <c r="S158" s="202"/>
      <c r="T158" s="202"/>
      <c r="U158" s="203"/>
      <c r="V158" s="33" t="e">
        <f t="shared" si="14"/>
        <v>#DIV/0!</v>
      </c>
      <c r="W158" s="24"/>
      <c r="X158" s="10"/>
    </row>
    <row r="159" spans="1:24" ht="15.75" customHeight="1" thickBot="1" x14ac:dyDescent="0.3">
      <c r="A159" s="39">
        <v>46</v>
      </c>
      <c r="B159" s="102"/>
      <c r="C159" s="54"/>
      <c r="D159" s="47"/>
      <c r="E159" s="47"/>
      <c r="F159" s="47"/>
      <c r="G159" s="47"/>
      <c r="H159" s="47"/>
      <c r="I159" s="47"/>
      <c r="J159" s="48" t="e">
        <f t="shared" si="10"/>
        <v>#DIV/0!</v>
      </c>
      <c r="K159" s="47"/>
      <c r="L159" s="47"/>
      <c r="M159" s="48" t="e">
        <f t="shared" si="11"/>
        <v>#DIV/0!</v>
      </c>
      <c r="N159" s="47"/>
      <c r="O159" s="47"/>
      <c r="P159" s="48" t="e">
        <f t="shared" si="12"/>
        <v>#DIV/0!</v>
      </c>
      <c r="Q159" s="49"/>
      <c r="R159" s="330" t="e">
        <f t="shared" si="13"/>
        <v>#DIV/0!</v>
      </c>
      <c r="S159" s="331"/>
      <c r="T159" s="331"/>
      <c r="U159" s="332"/>
      <c r="V159" s="50" t="e">
        <f t="shared" si="14"/>
        <v>#DIV/0!</v>
      </c>
      <c r="W159" s="24"/>
      <c r="X159" s="10"/>
    </row>
    <row r="160" spans="1:24" ht="15.75" customHeight="1" x14ac:dyDescent="0.25">
      <c r="A160" s="263"/>
      <c r="B160" s="341"/>
      <c r="C160" s="257"/>
      <c r="D160" s="257"/>
      <c r="E160" s="267"/>
      <c r="F160" s="270"/>
      <c r="G160" s="270"/>
      <c r="H160" s="270"/>
      <c r="I160" s="270"/>
      <c r="J160" s="272"/>
      <c r="K160" s="272"/>
      <c r="L160" s="257"/>
      <c r="M160" s="259"/>
      <c r="N160" s="259"/>
      <c r="O160" s="259"/>
      <c r="P160" s="259"/>
      <c r="Q160" s="261"/>
      <c r="R160" s="277"/>
      <c r="S160" s="278"/>
      <c r="T160" s="279"/>
      <c r="U160" s="283"/>
      <c r="V160" s="284"/>
      <c r="W160" s="255"/>
      <c r="X160" s="181"/>
    </row>
    <row r="161" spans="1:24" ht="15.75" customHeight="1" x14ac:dyDescent="0.25">
      <c r="A161" s="264"/>
      <c r="B161" s="334"/>
      <c r="C161" s="205"/>
      <c r="D161" s="205"/>
      <c r="E161" s="210"/>
      <c r="F161" s="211"/>
      <c r="G161" s="211"/>
      <c r="H161" s="211"/>
      <c r="I161" s="211"/>
      <c r="J161" s="204"/>
      <c r="K161" s="204"/>
      <c r="L161" s="205"/>
      <c r="M161" s="185"/>
      <c r="N161" s="185"/>
      <c r="O161" s="185"/>
      <c r="P161" s="185"/>
      <c r="Q161" s="187"/>
      <c r="R161" s="188"/>
      <c r="S161" s="189"/>
      <c r="T161" s="190"/>
      <c r="U161" s="194"/>
      <c r="V161" s="285"/>
      <c r="W161" s="255"/>
      <c r="X161" s="181"/>
    </row>
    <row r="162" spans="1:24" ht="15.75" customHeight="1" x14ac:dyDescent="0.25">
      <c r="A162" s="264"/>
      <c r="B162" s="335"/>
      <c r="C162" s="205"/>
      <c r="D162" s="205"/>
      <c r="E162" s="210"/>
      <c r="F162" s="211"/>
      <c r="G162" s="211"/>
      <c r="H162" s="211"/>
      <c r="I162" s="211"/>
      <c r="J162" s="204"/>
      <c r="K162" s="204"/>
      <c r="L162" s="205"/>
      <c r="M162" s="185"/>
      <c r="N162" s="185"/>
      <c r="O162" s="185"/>
      <c r="P162" s="185"/>
      <c r="Q162" s="187"/>
      <c r="R162" s="188"/>
      <c r="S162" s="189"/>
      <c r="T162" s="190"/>
      <c r="U162" s="194"/>
      <c r="V162" s="285"/>
      <c r="W162" s="255"/>
      <c r="X162" s="181"/>
    </row>
    <row r="163" spans="1:24" ht="15.75" customHeight="1" thickBot="1" x14ac:dyDescent="0.3">
      <c r="A163" s="265"/>
      <c r="B163" s="336"/>
      <c r="C163" s="258"/>
      <c r="D163" s="258"/>
      <c r="E163" s="268"/>
      <c r="F163" s="271"/>
      <c r="G163" s="271"/>
      <c r="H163" s="271"/>
      <c r="I163" s="271"/>
      <c r="J163" s="273"/>
      <c r="K163" s="273"/>
      <c r="L163" s="258"/>
      <c r="M163" s="260"/>
      <c r="N163" s="260"/>
      <c r="O163" s="260"/>
      <c r="P163" s="260"/>
      <c r="Q163" s="262"/>
      <c r="R163" s="280"/>
      <c r="S163" s="281"/>
      <c r="T163" s="282"/>
      <c r="U163" s="286"/>
      <c r="V163" s="287"/>
      <c r="W163" s="256"/>
      <c r="X163" s="182"/>
    </row>
    <row r="164" spans="1:24" ht="15.75" customHeight="1" x14ac:dyDescent="0.25"/>
    <row r="165" spans="1:24" ht="15.75" customHeight="1" x14ac:dyDescent="0.25"/>
    <row r="166" spans="1:24" ht="15.75" customHeight="1" thickBot="1" x14ac:dyDescent="0.3"/>
    <row r="167" spans="1:24" ht="87.75" customHeight="1" thickBot="1" x14ac:dyDescent="0.3">
      <c r="A167" s="290"/>
      <c r="B167" s="291"/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1"/>
      <c r="N167" s="291"/>
      <c r="O167" s="291"/>
      <c r="P167" s="292"/>
      <c r="Q167" s="288"/>
      <c r="R167" s="289"/>
      <c r="S167" s="289"/>
      <c r="T167" s="289"/>
      <c r="U167" s="289"/>
      <c r="V167" s="289"/>
      <c r="W167" s="289"/>
      <c r="X167" s="289"/>
    </row>
    <row r="168" spans="1:24" ht="15.75" customHeight="1" thickBot="1" x14ac:dyDescent="0.3">
      <c r="A168" s="296" t="s">
        <v>18</v>
      </c>
      <c r="B168" s="297"/>
      <c r="C168" s="298" t="s">
        <v>931</v>
      </c>
      <c r="D168" s="299"/>
      <c r="E168" s="299"/>
      <c r="F168" s="299"/>
      <c r="G168" s="299"/>
      <c r="H168" s="299"/>
      <c r="I168" s="300"/>
      <c r="J168" s="223" t="s">
        <v>20</v>
      </c>
      <c r="K168" s="224"/>
      <c r="L168" s="224"/>
      <c r="M168" s="224"/>
      <c r="N168" s="225"/>
      <c r="O168" s="225"/>
      <c r="P168" s="225"/>
      <c r="Q168" s="226"/>
      <c r="R168" s="227" t="s">
        <v>36</v>
      </c>
      <c r="S168" s="228"/>
      <c r="T168" s="228"/>
      <c r="U168" s="228"/>
      <c r="V168" s="228"/>
      <c r="W168" s="228"/>
      <c r="X168" s="229"/>
    </row>
    <row r="169" spans="1:24" ht="15.75" customHeight="1" x14ac:dyDescent="0.25">
      <c r="A169" s="230" t="s">
        <v>0</v>
      </c>
      <c r="B169" s="319" t="s">
        <v>1</v>
      </c>
      <c r="C169" s="235" t="s">
        <v>12</v>
      </c>
      <c r="D169" s="235"/>
      <c r="E169" s="235"/>
      <c r="F169" s="235"/>
      <c r="G169" s="235"/>
      <c r="H169" s="235"/>
      <c r="I169" s="235"/>
      <c r="J169" s="235"/>
      <c r="K169" s="236" t="s">
        <v>13</v>
      </c>
      <c r="L169" s="237"/>
      <c r="M169" s="237"/>
      <c r="N169" s="240" t="s">
        <v>15</v>
      </c>
      <c r="O169" s="240"/>
      <c r="P169" s="240"/>
      <c r="Q169" s="241" t="s">
        <v>4</v>
      </c>
      <c r="R169" s="244" t="s">
        <v>11</v>
      </c>
      <c r="S169" s="244"/>
      <c r="T169" s="244"/>
      <c r="U169" s="244"/>
      <c r="V169" s="244"/>
      <c r="W169" s="246" t="s">
        <v>2</v>
      </c>
      <c r="X169" s="247"/>
    </row>
    <row r="170" spans="1:24" ht="15.75" customHeight="1" x14ac:dyDescent="0.25">
      <c r="A170" s="231"/>
      <c r="B170" s="320"/>
      <c r="C170" s="248" t="s">
        <v>6</v>
      </c>
      <c r="D170" s="248" t="s">
        <v>17</v>
      </c>
      <c r="E170" s="248" t="s">
        <v>5</v>
      </c>
      <c r="F170" s="250"/>
      <c r="G170" s="250"/>
      <c r="H170" s="250"/>
      <c r="I170" s="342" t="s">
        <v>16</v>
      </c>
      <c r="J170" s="253" t="s">
        <v>14</v>
      </c>
      <c r="K170" s="238"/>
      <c r="L170" s="239"/>
      <c r="M170" s="239"/>
      <c r="N170" s="240"/>
      <c r="O170" s="240"/>
      <c r="P170" s="240"/>
      <c r="Q170" s="242"/>
      <c r="R170" s="245"/>
      <c r="S170" s="245"/>
      <c r="T170" s="245"/>
      <c r="U170" s="245"/>
      <c r="V170" s="245"/>
      <c r="W170" s="187"/>
      <c r="X170" s="187"/>
    </row>
    <row r="171" spans="1:24" ht="29.25" customHeight="1" thickBot="1" x14ac:dyDescent="0.3">
      <c r="A171" s="232"/>
      <c r="B171" s="340"/>
      <c r="C171" s="248"/>
      <c r="D171" s="248"/>
      <c r="E171" s="248"/>
      <c r="F171" s="248"/>
      <c r="G171" s="248"/>
      <c r="H171" s="248"/>
      <c r="I171" s="343"/>
      <c r="J171" s="329"/>
      <c r="K171" s="27" t="s">
        <v>9</v>
      </c>
      <c r="L171" s="27" t="s">
        <v>10</v>
      </c>
      <c r="M171" s="55" t="s">
        <v>3</v>
      </c>
      <c r="N171" s="27" t="s">
        <v>9</v>
      </c>
      <c r="O171" s="27" t="s">
        <v>10</v>
      </c>
      <c r="P171" s="56" t="s">
        <v>3</v>
      </c>
      <c r="Q171" s="321"/>
      <c r="R171" s="322" t="s">
        <v>7</v>
      </c>
      <c r="S171" s="323"/>
      <c r="T171" s="323"/>
      <c r="U171" s="324"/>
      <c r="V171" s="57" t="s">
        <v>8</v>
      </c>
      <c r="W171" s="5">
        <v>1</v>
      </c>
      <c r="X171" s="5">
        <v>2</v>
      </c>
    </row>
    <row r="172" spans="1:24" ht="15.75" customHeight="1" x14ac:dyDescent="0.25">
      <c r="A172" s="38">
        <v>1</v>
      </c>
      <c r="B172" s="123" t="s">
        <v>165</v>
      </c>
      <c r="C172" s="44">
        <v>83</v>
      </c>
      <c r="D172" s="30">
        <v>77</v>
      </c>
      <c r="E172" s="30">
        <v>92</v>
      </c>
      <c r="F172" s="30"/>
      <c r="G172" s="30"/>
      <c r="H172" s="30"/>
      <c r="I172" s="30">
        <v>40</v>
      </c>
      <c r="J172" s="31">
        <f>((AVERAGE(C172:H172))*72%)+I172*8%</f>
        <v>63.68</v>
      </c>
      <c r="K172" s="30">
        <v>80</v>
      </c>
      <c r="L172" s="30">
        <v>80</v>
      </c>
      <c r="M172" s="31">
        <f>(AVERAGE(K172:L172))*10%</f>
        <v>8</v>
      </c>
      <c r="N172" s="30">
        <v>85</v>
      </c>
      <c r="O172" s="30">
        <v>85</v>
      </c>
      <c r="P172" s="31">
        <f>(AVERAGE(N172:O172))*10%</f>
        <v>8.5</v>
      </c>
      <c r="Q172" s="30"/>
      <c r="R172" s="325" t="str">
        <f>IF(V172&lt;65,"BAJO",IF(V172&lt;=79,"BASICO",IF(V172&lt;=89,"ALTO",IF(V172&lt;=100,"SUPERIOR"))))</f>
        <v>ALTO</v>
      </c>
      <c r="S172" s="326"/>
      <c r="T172" s="326"/>
      <c r="U172" s="327"/>
      <c r="V172" s="32">
        <f>J172+M172+P172</f>
        <v>80.180000000000007</v>
      </c>
      <c r="W172" s="24"/>
      <c r="X172" s="10"/>
    </row>
    <row r="173" spans="1:24" ht="15.75" customHeight="1" x14ac:dyDescent="0.25">
      <c r="A173" s="38">
        <v>2</v>
      </c>
      <c r="B173" s="124" t="s">
        <v>812</v>
      </c>
      <c r="C173" s="45">
        <v>54</v>
      </c>
      <c r="D173" s="8">
        <v>75</v>
      </c>
      <c r="E173" s="8">
        <v>62</v>
      </c>
      <c r="F173" s="8"/>
      <c r="G173" s="8"/>
      <c r="H173" s="8"/>
      <c r="I173" s="9">
        <v>40</v>
      </c>
      <c r="J173" s="15">
        <f t="shared" ref="J173:J217" si="15">((AVERAGE(C173:H173))*72%)+I173*8%</f>
        <v>49.04</v>
      </c>
      <c r="K173" s="8">
        <v>86</v>
      </c>
      <c r="L173" s="8">
        <v>86</v>
      </c>
      <c r="M173" s="15">
        <f t="shared" ref="M173:M217" si="16">(AVERAGE(K173:L173))*10%</f>
        <v>8.6</v>
      </c>
      <c r="N173" s="8">
        <v>88</v>
      </c>
      <c r="O173" s="8">
        <v>88</v>
      </c>
      <c r="P173" s="15">
        <f t="shared" ref="P173:P217" si="17">(AVERAGE(N173:O173))*10%</f>
        <v>8.8000000000000007</v>
      </c>
      <c r="Q173" s="11"/>
      <c r="R173" s="201" t="str">
        <f t="shared" ref="R173:R217" si="18">IF(V173&lt;65,"BAJO",IF(V173&lt;=79,"BASICO",IF(V173&lt;=89,"ALTO",IF(V173&lt;=100,"SUPERIOR"))))</f>
        <v>BASICO</v>
      </c>
      <c r="S173" s="202"/>
      <c r="T173" s="202"/>
      <c r="U173" s="203"/>
      <c r="V173" s="33">
        <f t="shared" ref="V173:V217" si="19">J173+M173+P173</f>
        <v>66.44</v>
      </c>
      <c r="W173" s="24"/>
      <c r="X173" s="10"/>
    </row>
    <row r="174" spans="1:24" ht="15.75" customHeight="1" x14ac:dyDescent="0.25">
      <c r="A174" s="38">
        <v>3</v>
      </c>
      <c r="B174" s="124" t="s">
        <v>813</v>
      </c>
      <c r="C174" s="45">
        <v>89</v>
      </c>
      <c r="D174" s="8">
        <v>47</v>
      </c>
      <c r="E174" s="8">
        <v>64</v>
      </c>
      <c r="F174" s="8"/>
      <c r="G174" s="8"/>
      <c r="H174" s="8"/>
      <c r="I174" s="9">
        <v>60</v>
      </c>
      <c r="J174" s="15">
        <f t="shared" si="15"/>
        <v>52.8</v>
      </c>
      <c r="K174" s="8">
        <v>81</v>
      </c>
      <c r="L174" s="8">
        <v>81</v>
      </c>
      <c r="M174" s="15">
        <f t="shared" si="16"/>
        <v>8.1</v>
      </c>
      <c r="N174" s="8">
        <v>93</v>
      </c>
      <c r="O174" s="8">
        <v>93</v>
      </c>
      <c r="P174" s="15">
        <f t="shared" si="17"/>
        <v>9.3000000000000007</v>
      </c>
      <c r="Q174" s="11"/>
      <c r="R174" s="201" t="str">
        <f t="shared" si="18"/>
        <v>BASICO</v>
      </c>
      <c r="S174" s="202"/>
      <c r="T174" s="202"/>
      <c r="U174" s="203"/>
      <c r="V174" s="33">
        <f t="shared" si="19"/>
        <v>70.2</v>
      </c>
      <c r="W174" s="24"/>
      <c r="X174" s="10"/>
    </row>
    <row r="175" spans="1:24" ht="15.75" customHeight="1" x14ac:dyDescent="0.25">
      <c r="A175" s="38">
        <v>4</v>
      </c>
      <c r="B175" s="124" t="s">
        <v>166</v>
      </c>
      <c r="C175" s="45">
        <v>100</v>
      </c>
      <c r="D175" s="8">
        <v>100</v>
      </c>
      <c r="E175" s="8">
        <v>100</v>
      </c>
      <c r="F175" s="8"/>
      <c r="G175" s="8"/>
      <c r="H175" s="8"/>
      <c r="I175" s="8">
        <v>67</v>
      </c>
      <c r="J175" s="15">
        <f t="shared" si="15"/>
        <v>77.36</v>
      </c>
      <c r="K175" s="8">
        <v>65</v>
      </c>
      <c r="L175" s="8">
        <v>65</v>
      </c>
      <c r="M175" s="15">
        <f t="shared" si="16"/>
        <v>6.5</v>
      </c>
      <c r="N175" s="8">
        <v>65</v>
      </c>
      <c r="O175" s="8">
        <v>65</v>
      </c>
      <c r="P175" s="15">
        <f t="shared" si="17"/>
        <v>6.5</v>
      </c>
      <c r="Q175" s="11"/>
      <c r="R175" s="201" t="str">
        <f t="shared" si="18"/>
        <v>SUPERIOR</v>
      </c>
      <c r="S175" s="202"/>
      <c r="T175" s="202"/>
      <c r="U175" s="203"/>
      <c r="V175" s="33">
        <f t="shared" si="19"/>
        <v>90.36</v>
      </c>
      <c r="W175" s="24"/>
      <c r="X175" s="10"/>
    </row>
    <row r="176" spans="1:24" ht="15.75" customHeight="1" x14ac:dyDescent="0.25">
      <c r="A176" s="38">
        <v>5</v>
      </c>
      <c r="B176" s="124" t="s">
        <v>167</v>
      </c>
      <c r="C176" s="45">
        <v>84</v>
      </c>
      <c r="D176" s="8">
        <v>99</v>
      </c>
      <c r="E176" s="8">
        <v>70</v>
      </c>
      <c r="F176" s="8"/>
      <c r="G176" s="8"/>
      <c r="H176" s="8"/>
      <c r="I176" s="8">
        <v>40</v>
      </c>
      <c r="J176" s="15">
        <f t="shared" si="15"/>
        <v>63.919999999999995</v>
      </c>
      <c r="K176" s="8">
        <v>86</v>
      </c>
      <c r="L176" s="8">
        <v>86</v>
      </c>
      <c r="M176" s="15">
        <f t="shared" si="16"/>
        <v>8.6</v>
      </c>
      <c r="N176" s="8">
        <v>70</v>
      </c>
      <c r="O176" s="8">
        <v>70</v>
      </c>
      <c r="P176" s="15">
        <f t="shared" si="17"/>
        <v>7</v>
      </c>
      <c r="Q176" s="10"/>
      <c r="R176" s="201" t="str">
        <f t="shared" si="18"/>
        <v>ALTO</v>
      </c>
      <c r="S176" s="202"/>
      <c r="T176" s="202"/>
      <c r="U176" s="203"/>
      <c r="V176" s="33">
        <f t="shared" si="19"/>
        <v>79.52</v>
      </c>
      <c r="W176" s="24"/>
      <c r="X176" s="10"/>
    </row>
    <row r="177" spans="1:24" ht="15.75" customHeight="1" x14ac:dyDescent="0.25">
      <c r="A177" s="38">
        <v>6</v>
      </c>
      <c r="B177" s="120" t="s">
        <v>804</v>
      </c>
      <c r="C177" s="45">
        <v>69</v>
      </c>
      <c r="D177" s="8">
        <v>62</v>
      </c>
      <c r="E177" s="8">
        <v>89</v>
      </c>
      <c r="F177" s="8"/>
      <c r="G177" s="8"/>
      <c r="H177" s="8"/>
      <c r="I177" s="8">
        <v>40</v>
      </c>
      <c r="J177" s="15">
        <f t="shared" si="15"/>
        <v>56</v>
      </c>
      <c r="K177" s="8">
        <v>97</v>
      </c>
      <c r="L177" s="8">
        <v>97</v>
      </c>
      <c r="M177" s="15">
        <f t="shared" si="16"/>
        <v>9.7000000000000011</v>
      </c>
      <c r="N177" s="8">
        <v>86</v>
      </c>
      <c r="O177" s="8">
        <v>86</v>
      </c>
      <c r="P177" s="15">
        <f t="shared" si="17"/>
        <v>8.6</v>
      </c>
      <c r="Q177" s="10"/>
      <c r="R177" s="201" t="str">
        <f t="shared" si="18"/>
        <v>BASICO</v>
      </c>
      <c r="S177" s="202"/>
      <c r="T177" s="202"/>
      <c r="U177" s="203"/>
      <c r="V177" s="33">
        <f t="shared" si="19"/>
        <v>74.3</v>
      </c>
      <c r="W177" s="24"/>
      <c r="X177" s="10"/>
    </row>
    <row r="178" spans="1:24" ht="15.75" customHeight="1" x14ac:dyDescent="0.25">
      <c r="A178" s="38">
        <v>7</v>
      </c>
      <c r="B178" s="124" t="s">
        <v>247</v>
      </c>
      <c r="C178" s="45">
        <v>69</v>
      </c>
      <c r="D178" s="8">
        <v>78</v>
      </c>
      <c r="E178" s="8">
        <v>97</v>
      </c>
      <c r="F178" s="8"/>
      <c r="G178" s="8"/>
      <c r="H178" s="8"/>
      <c r="I178" s="8">
        <v>40</v>
      </c>
      <c r="J178" s="15">
        <f t="shared" si="15"/>
        <v>61.76</v>
      </c>
      <c r="K178" s="8">
        <v>91</v>
      </c>
      <c r="L178" s="8">
        <v>91</v>
      </c>
      <c r="M178" s="15">
        <f t="shared" si="16"/>
        <v>9.1</v>
      </c>
      <c r="N178" s="8">
        <v>92</v>
      </c>
      <c r="O178" s="8">
        <v>92</v>
      </c>
      <c r="P178" s="15">
        <f t="shared" si="17"/>
        <v>9.2000000000000011</v>
      </c>
      <c r="Q178" s="10"/>
      <c r="R178" s="201" t="str">
        <f t="shared" si="18"/>
        <v>ALTO</v>
      </c>
      <c r="S178" s="202"/>
      <c r="T178" s="202"/>
      <c r="U178" s="203"/>
      <c r="V178" s="33">
        <f t="shared" si="19"/>
        <v>80.06</v>
      </c>
      <c r="W178" s="24"/>
      <c r="X178" s="10"/>
    </row>
    <row r="179" spans="1:24" ht="15.75" customHeight="1" x14ac:dyDescent="0.25">
      <c r="A179" s="38">
        <v>8</v>
      </c>
      <c r="B179" s="124" t="s">
        <v>248</v>
      </c>
      <c r="C179" s="45">
        <v>100</v>
      </c>
      <c r="D179" s="8">
        <v>100</v>
      </c>
      <c r="E179" s="8">
        <v>100</v>
      </c>
      <c r="F179" s="8"/>
      <c r="G179" s="8"/>
      <c r="H179" s="8"/>
      <c r="I179" s="8">
        <v>40</v>
      </c>
      <c r="J179" s="15">
        <f t="shared" si="15"/>
        <v>75.2</v>
      </c>
      <c r="K179" s="8">
        <v>65</v>
      </c>
      <c r="L179" s="8">
        <v>65</v>
      </c>
      <c r="M179" s="15">
        <f t="shared" si="16"/>
        <v>6.5</v>
      </c>
      <c r="N179" s="8">
        <v>65</v>
      </c>
      <c r="O179" s="8">
        <v>65</v>
      </c>
      <c r="P179" s="15">
        <f t="shared" si="17"/>
        <v>6.5</v>
      </c>
      <c r="Q179" s="10"/>
      <c r="R179" s="201" t="str">
        <f t="shared" si="18"/>
        <v>ALTO</v>
      </c>
      <c r="S179" s="202"/>
      <c r="T179" s="202"/>
      <c r="U179" s="203"/>
      <c r="V179" s="33">
        <f t="shared" si="19"/>
        <v>88.2</v>
      </c>
      <c r="W179" s="24"/>
      <c r="X179" s="10"/>
    </row>
    <row r="180" spans="1:24" ht="15.75" customHeight="1" x14ac:dyDescent="0.25">
      <c r="A180" s="38">
        <v>9</v>
      </c>
      <c r="B180" s="124" t="s">
        <v>417</v>
      </c>
      <c r="C180" s="45">
        <v>100</v>
      </c>
      <c r="D180" s="8">
        <v>100</v>
      </c>
      <c r="E180" s="8">
        <v>100</v>
      </c>
      <c r="F180" s="8"/>
      <c r="G180" s="8"/>
      <c r="H180" s="8"/>
      <c r="I180" s="8">
        <v>67</v>
      </c>
      <c r="J180" s="15">
        <f t="shared" si="15"/>
        <v>77.36</v>
      </c>
      <c r="K180" s="8">
        <v>65</v>
      </c>
      <c r="L180" s="8">
        <v>65</v>
      </c>
      <c r="M180" s="15">
        <f t="shared" si="16"/>
        <v>6.5</v>
      </c>
      <c r="N180" s="8">
        <v>65</v>
      </c>
      <c r="O180" s="8">
        <v>65</v>
      </c>
      <c r="P180" s="15">
        <f t="shared" si="17"/>
        <v>6.5</v>
      </c>
      <c r="Q180" s="10"/>
      <c r="R180" s="201" t="str">
        <f t="shared" si="18"/>
        <v>SUPERIOR</v>
      </c>
      <c r="S180" s="202"/>
      <c r="T180" s="202"/>
      <c r="U180" s="203"/>
      <c r="V180" s="33">
        <f t="shared" si="19"/>
        <v>90.36</v>
      </c>
      <c r="W180" s="24"/>
      <c r="X180" s="10"/>
    </row>
    <row r="181" spans="1:24" ht="15.75" customHeight="1" x14ac:dyDescent="0.25">
      <c r="A181" s="38">
        <v>10</v>
      </c>
      <c r="B181" s="124" t="s">
        <v>170</v>
      </c>
      <c r="C181" s="45">
        <v>100</v>
      </c>
      <c r="D181" s="8">
        <v>100</v>
      </c>
      <c r="E181" s="8">
        <v>100</v>
      </c>
      <c r="F181" s="8"/>
      <c r="G181" s="8"/>
      <c r="H181" s="8"/>
      <c r="I181" s="8">
        <v>40</v>
      </c>
      <c r="J181" s="15">
        <f t="shared" si="15"/>
        <v>75.2</v>
      </c>
      <c r="K181" s="8">
        <v>65</v>
      </c>
      <c r="L181" s="8">
        <v>65</v>
      </c>
      <c r="M181" s="15">
        <f t="shared" si="16"/>
        <v>6.5</v>
      </c>
      <c r="N181" s="8">
        <v>65</v>
      </c>
      <c r="O181" s="8">
        <v>65</v>
      </c>
      <c r="P181" s="15">
        <f t="shared" si="17"/>
        <v>6.5</v>
      </c>
      <c r="Q181" s="10"/>
      <c r="R181" s="201" t="str">
        <f t="shared" si="18"/>
        <v>ALTO</v>
      </c>
      <c r="S181" s="202"/>
      <c r="T181" s="202"/>
      <c r="U181" s="203"/>
      <c r="V181" s="33">
        <f t="shared" si="19"/>
        <v>88.2</v>
      </c>
      <c r="W181" s="24"/>
      <c r="X181" s="10"/>
    </row>
    <row r="182" spans="1:24" ht="15.75" customHeight="1" x14ac:dyDescent="0.25">
      <c r="A182" s="38">
        <v>11</v>
      </c>
      <c r="B182" s="124" t="s">
        <v>172</v>
      </c>
      <c r="C182" s="45">
        <v>100</v>
      </c>
      <c r="D182" s="8">
        <v>100</v>
      </c>
      <c r="E182" s="8">
        <v>100</v>
      </c>
      <c r="F182" s="8"/>
      <c r="G182" s="8"/>
      <c r="H182" s="8"/>
      <c r="I182" s="8">
        <v>60</v>
      </c>
      <c r="J182" s="15">
        <f t="shared" si="15"/>
        <v>76.8</v>
      </c>
      <c r="K182" s="8">
        <v>65</v>
      </c>
      <c r="L182" s="8">
        <v>65</v>
      </c>
      <c r="M182" s="15">
        <f t="shared" si="16"/>
        <v>6.5</v>
      </c>
      <c r="N182" s="8">
        <v>65</v>
      </c>
      <c r="O182" s="8">
        <v>65</v>
      </c>
      <c r="P182" s="15">
        <f t="shared" si="17"/>
        <v>6.5</v>
      </c>
      <c r="Q182" s="10"/>
      <c r="R182" s="201" t="str">
        <f t="shared" si="18"/>
        <v>SUPERIOR</v>
      </c>
      <c r="S182" s="202"/>
      <c r="T182" s="202"/>
      <c r="U182" s="203"/>
      <c r="V182" s="33">
        <f t="shared" si="19"/>
        <v>89.8</v>
      </c>
      <c r="W182" s="24"/>
      <c r="X182" s="10"/>
    </row>
    <row r="183" spans="1:24" ht="15.75" customHeight="1" x14ac:dyDescent="0.25">
      <c r="A183" s="38">
        <v>12</v>
      </c>
      <c r="B183" s="124" t="s">
        <v>173</v>
      </c>
      <c r="C183" s="45">
        <v>25</v>
      </c>
      <c r="D183" s="8">
        <v>63</v>
      </c>
      <c r="E183" s="8">
        <v>33</v>
      </c>
      <c r="F183" s="8"/>
      <c r="G183" s="8"/>
      <c r="H183" s="8"/>
      <c r="I183" s="8">
        <v>60</v>
      </c>
      <c r="J183" s="15">
        <f t="shared" si="15"/>
        <v>33.839999999999996</v>
      </c>
      <c r="K183" s="8">
        <v>72</v>
      </c>
      <c r="L183" s="8">
        <v>72</v>
      </c>
      <c r="M183" s="15">
        <f t="shared" si="16"/>
        <v>7.2</v>
      </c>
      <c r="N183" s="8">
        <v>93</v>
      </c>
      <c r="O183" s="8">
        <v>93</v>
      </c>
      <c r="P183" s="15">
        <f t="shared" si="17"/>
        <v>9.3000000000000007</v>
      </c>
      <c r="Q183" s="10"/>
      <c r="R183" s="201" t="str">
        <f t="shared" si="18"/>
        <v>BAJO</v>
      </c>
      <c r="S183" s="202"/>
      <c r="T183" s="202"/>
      <c r="U183" s="203"/>
      <c r="V183" s="33">
        <f t="shared" si="19"/>
        <v>50.34</v>
      </c>
      <c r="W183" s="24"/>
      <c r="X183" s="10"/>
    </row>
    <row r="184" spans="1:24" ht="15.75" customHeight="1" x14ac:dyDescent="0.25">
      <c r="A184" s="38">
        <v>13</v>
      </c>
      <c r="B184" s="124" t="s">
        <v>814</v>
      </c>
      <c r="C184" s="45">
        <v>65</v>
      </c>
      <c r="D184" s="8">
        <v>90</v>
      </c>
      <c r="E184" s="8">
        <v>87</v>
      </c>
      <c r="F184" s="8"/>
      <c r="G184" s="8"/>
      <c r="H184" s="8"/>
      <c r="I184" s="8">
        <v>60</v>
      </c>
      <c r="J184" s="15">
        <f t="shared" si="15"/>
        <v>62.879999999999995</v>
      </c>
      <c r="K184" s="8">
        <v>92</v>
      </c>
      <c r="L184" s="8">
        <v>92</v>
      </c>
      <c r="M184" s="15">
        <f t="shared" si="16"/>
        <v>9.2000000000000011</v>
      </c>
      <c r="N184" s="8">
        <v>82</v>
      </c>
      <c r="O184" s="8">
        <v>82</v>
      </c>
      <c r="P184" s="15">
        <f t="shared" si="17"/>
        <v>8.2000000000000011</v>
      </c>
      <c r="Q184" s="10"/>
      <c r="R184" s="201" t="str">
        <f t="shared" si="18"/>
        <v>ALTO</v>
      </c>
      <c r="S184" s="202"/>
      <c r="T184" s="202"/>
      <c r="U184" s="203"/>
      <c r="V184" s="33">
        <f t="shared" si="19"/>
        <v>80.28</v>
      </c>
      <c r="W184" s="24"/>
      <c r="X184" s="10"/>
    </row>
    <row r="185" spans="1:24" ht="15.75" customHeight="1" x14ac:dyDescent="0.25">
      <c r="A185" s="38">
        <v>14</v>
      </c>
      <c r="B185" s="124" t="s">
        <v>148</v>
      </c>
      <c r="C185" s="45">
        <v>35</v>
      </c>
      <c r="D185" s="8">
        <v>72</v>
      </c>
      <c r="E185" s="8">
        <v>80</v>
      </c>
      <c r="F185" s="8"/>
      <c r="G185" s="8"/>
      <c r="H185" s="8"/>
      <c r="I185" s="8">
        <v>60</v>
      </c>
      <c r="J185" s="15">
        <f t="shared" si="15"/>
        <v>49.68</v>
      </c>
      <c r="K185" s="8">
        <v>90</v>
      </c>
      <c r="L185" s="8">
        <v>90</v>
      </c>
      <c r="M185" s="15">
        <f t="shared" si="16"/>
        <v>9</v>
      </c>
      <c r="N185" s="8">
        <v>93</v>
      </c>
      <c r="O185" s="8">
        <v>93</v>
      </c>
      <c r="P185" s="15">
        <f t="shared" si="17"/>
        <v>9.3000000000000007</v>
      </c>
      <c r="Q185" s="10"/>
      <c r="R185" s="201" t="str">
        <f t="shared" si="18"/>
        <v>BASICO</v>
      </c>
      <c r="S185" s="202"/>
      <c r="T185" s="202"/>
      <c r="U185" s="203"/>
      <c r="V185" s="33">
        <f t="shared" si="19"/>
        <v>67.98</v>
      </c>
      <c r="W185" s="24"/>
      <c r="X185" s="10"/>
    </row>
    <row r="186" spans="1:24" ht="15.75" customHeight="1" x14ac:dyDescent="0.25">
      <c r="A186" s="38">
        <v>15</v>
      </c>
      <c r="B186" s="170" t="s">
        <v>896</v>
      </c>
      <c r="C186" s="45">
        <v>80</v>
      </c>
      <c r="D186" s="8">
        <v>31</v>
      </c>
      <c r="E186" s="8">
        <v>30</v>
      </c>
      <c r="F186" s="8"/>
      <c r="G186" s="8"/>
      <c r="H186" s="8"/>
      <c r="I186" s="8">
        <v>0</v>
      </c>
      <c r="J186" s="15">
        <f t="shared" si="15"/>
        <v>33.839999999999996</v>
      </c>
      <c r="K186" s="8">
        <v>80</v>
      </c>
      <c r="L186" s="8">
        <v>80</v>
      </c>
      <c r="M186" s="15">
        <f t="shared" si="16"/>
        <v>8</v>
      </c>
      <c r="N186" s="8">
        <v>80</v>
      </c>
      <c r="O186" s="8">
        <v>80</v>
      </c>
      <c r="P186" s="15">
        <f t="shared" si="17"/>
        <v>8</v>
      </c>
      <c r="Q186" s="10"/>
      <c r="R186" s="201" t="str">
        <f t="shared" si="18"/>
        <v>BAJO</v>
      </c>
      <c r="S186" s="202"/>
      <c r="T186" s="202"/>
      <c r="U186" s="203"/>
      <c r="V186" s="33">
        <f t="shared" si="19"/>
        <v>49.839999999999996</v>
      </c>
      <c r="W186" s="24"/>
      <c r="X186" s="10"/>
    </row>
    <row r="187" spans="1:24" ht="15.75" customHeight="1" x14ac:dyDescent="0.25">
      <c r="A187" s="38">
        <v>16</v>
      </c>
      <c r="B187" s="124" t="s">
        <v>237</v>
      </c>
      <c r="C187" s="45">
        <v>77</v>
      </c>
      <c r="D187" s="8">
        <v>90</v>
      </c>
      <c r="E187" s="8">
        <v>43</v>
      </c>
      <c r="F187" s="8"/>
      <c r="G187" s="8"/>
      <c r="H187" s="8"/>
      <c r="I187" s="8">
        <v>40</v>
      </c>
      <c r="J187" s="15">
        <f t="shared" si="15"/>
        <v>53.6</v>
      </c>
      <c r="K187" s="8">
        <v>71</v>
      </c>
      <c r="L187" s="8">
        <v>71</v>
      </c>
      <c r="M187" s="15">
        <f t="shared" si="16"/>
        <v>7.1000000000000005</v>
      </c>
      <c r="N187" s="8">
        <v>68</v>
      </c>
      <c r="O187" s="8">
        <v>68</v>
      </c>
      <c r="P187" s="15">
        <f t="shared" si="17"/>
        <v>6.8000000000000007</v>
      </c>
      <c r="Q187" s="10"/>
      <c r="R187" s="201" t="str">
        <f t="shared" si="18"/>
        <v>BASICO</v>
      </c>
      <c r="S187" s="202"/>
      <c r="T187" s="202"/>
      <c r="U187" s="203"/>
      <c r="V187" s="33">
        <f t="shared" si="19"/>
        <v>67.5</v>
      </c>
      <c r="W187" s="24"/>
      <c r="X187" s="10"/>
    </row>
    <row r="188" spans="1:24" ht="15.75" customHeight="1" x14ac:dyDescent="0.25">
      <c r="A188" s="38">
        <v>17</v>
      </c>
      <c r="B188" s="124" t="s">
        <v>266</v>
      </c>
      <c r="C188" s="45">
        <v>100</v>
      </c>
      <c r="D188" s="8">
        <v>100</v>
      </c>
      <c r="E188" s="8">
        <v>100</v>
      </c>
      <c r="F188" s="8"/>
      <c r="G188" s="8"/>
      <c r="H188" s="8"/>
      <c r="I188" s="13">
        <v>67</v>
      </c>
      <c r="J188" s="15">
        <f t="shared" si="15"/>
        <v>77.36</v>
      </c>
      <c r="K188" s="8">
        <v>65</v>
      </c>
      <c r="L188" s="8">
        <v>65</v>
      </c>
      <c r="M188" s="15">
        <f t="shared" si="16"/>
        <v>6.5</v>
      </c>
      <c r="N188" s="8">
        <v>65</v>
      </c>
      <c r="O188" s="8">
        <v>65</v>
      </c>
      <c r="P188" s="15">
        <f t="shared" si="17"/>
        <v>6.5</v>
      </c>
      <c r="Q188" s="10"/>
      <c r="R188" s="201" t="str">
        <f t="shared" si="18"/>
        <v>SUPERIOR</v>
      </c>
      <c r="S188" s="202"/>
      <c r="T188" s="202"/>
      <c r="U188" s="203"/>
      <c r="V188" s="33">
        <f t="shared" si="19"/>
        <v>90.36</v>
      </c>
      <c r="W188" s="24"/>
      <c r="X188" s="10"/>
    </row>
    <row r="189" spans="1:24" ht="15.75" customHeight="1" x14ac:dyDescent="0.25">
      <c r="A189" s="38">
        <v>18</v>
      </c>
      <c r="B189" s="124" t="s">
        <v>176</v>
      </c>
      <c r="C189" s="45">
        <v>23</v>
      </c>
      <c r="D189" s="8">
        <v>99</v>
      </c>
      <c r="E189" s="8">
        <v>45</v>
      </c>
      <c r="F189" s="8"/>
      <c r="G189" s="8"/>
      <c r="H189" s="8"/>
      <c r="I189" s="8">
        <v>40</v>
      </c>
      <c r="J189" s="15">
        <f t="shared" si="15"/>
        <v>43.28</v>
      </c>
      <c r="K189" s="8">
        <v>86</v>
      </c>
      <c r="L189" s="8">
        <v>86</v>
      </c>
      <c r="M189" s="15">
        <f t="shared" si="16"/>
        <v>8.6</v>
      </c>
      <c r="N189" s="8">
        <v>80</v>
      </c>
      <c r="O189" s="8">
        <v>80</v>
      </c>
      <c r="P189" s="15">
        <f t="shared" si="17"/>
        <v>8</v>
      </c>
      <c r="Q189" s="10"/>
      <c r="R189" s="201" t="str">
        <f t="shared" si="18"/>
        <v>BAJO</v>
      </c>
      <c r="S189" s="202"/>
      <c r="T189" s="202"/>
      <c r="U189" s="203"/>
      <c r="V189" s="33">
        <f t="shared" si="19"/>
        <v>59.88</v>
      </c>
      <c r="W189" s="24"/>
      <c r="X189" s="10"/>
    </row>
    <row r="190" spans="1:24" ht="15.75" customHeight="1" x14ac:dyDescent="0.25">
      <c r="A190" s="38">
        <v>19</v>
      </c>
      <c r="B190" s="67" t="s">
        <v>424</v>
      </c>
      <c r="C190" s="45">
        <v>74</v>
      </c>
      <c r="D190" s="8">
        <v>62</v>
      </c>
      <c r="E190" s="8">
        <v>95</v>
      </c>
      <c r="F190" s="8"/>
      <c r="G190" s="8"/>
      <c r="H190" s="8"/>
      <c r="I190" s="8">
        <v>60</v>
      </c>
      <c r="J190" s="15">
        <f t="shared" si="15"/>
        <v>60.239999999999995</v>
      </c>
      <c r="K190" s="8">
        <v>99</v>
      </c>
      <c r="L190" s="8">
        <v>99</v>
      </c>
      <c r="M190" s="15">
        <f t="shared" si="16"/>
        <v>9.9</v>
      </c>
      <c r="N190" s="8">
        <v>100</v>
      </c>
      <c r="O190" s="8">
        <v>100</v>
      </c>
      <c r="P190" s="15">
        <f t="shared" si="17"/>
        <v>10</v>
      </c>
      <c r="Q190" s="10"/>
      <c r="R190" s="201" t="str">
        <f t="shared" si="18"/>
        <v>ALTO</v>
      </c>
      <c r="S190" s="202"/>
      <c r="T190" s="202"/>
      <c r="U190" s="203"/>
      <c r="V190" s="33">
        <f t="shared" si="19"/>
        <v>80.14</v>
      </c>
      <c r="W190" s="24"/>
      <c r="X190" s="10"/>
    </row>
    <row r="191" spans="1:24" ht="15.75" customHeight="1" x14ac:dyDescent="0.25">
      <c r="A191" s="38">
        <v>20</v>
      </c>
      <c r="B191" s="124" t="s">
        <v>177</v>
      </c>
      <c r="C191" s="45">
        <v>100</v>
      </c>
      <c r="D191" s="8">
        <v>100</v>
      </c>
      <c r="E191" s="8">
        <v>100</v>
      </c>
      <c r="F191" s="8"/>
      <c r="G191" s="8"/>
      <c r="H191" s="8"/>
      <c r="I191" s="8">
        <v>40</v>
      </c>
      <c r="J191" s="15">
        <f t="shared" si="15"/>
        <v>75.2</v>
      </c>
      <c r="K191" s="8">
        <v>65</v>
      </c>
      <c r="L191" s="8">
        <v>65</v>
      </c>
      <c r="M191" s="15">
        <f t="shared" si="16"/>
        <v>6.5</v>
      </c>
      <c r="N191" s="8">
        <v>65</v>
      </c>
      <c r="O191" s="8">
        <v>65</v>
      </c>
      <c r="P191" s="15">
        <f t="shared" si="17"/>
        <v>6.5</v>
      </c>
      <c r="Q191" s="10"/>
      <c r="R191" s="201" t="str">
        <f t="shared" si="18"/>
        <v>ALTO</v>
      </c>
      <c r="S191" s="202"/>
      <c r="T191" s="202"/>
      <c r="U191" s="203"/>
      <c r="V191" s="33">
        <f t="shared" si="19"/>
        <v>88.2</v>
      </c>
      <c r="W191" s="24"/>
      <c r="X191" s="10"/>
    </row>
    <row r="192" spans="1:24" ht="15.75" customHeight="1" x14ac:dyDescent="0.25">
      <c r="A192" s="38">
        <v>21</v>
      </c>
      <c r="B192" s="124" t="s">
        <v>271</v>
      </c>
      <c r="C192" s="45">
        <v>41</v>
      </c>
      <c r="D192" s="8">
        <v>62</v>
      </c>
      <c r="E192" s="8">
        <v>31</v>
      </c>
      <c r="F192" s="8"/>
      <c r="G192" s="8"/>
      <c r="H192" s="8"/>
      <c r="I192" s="8">
        <v>0</v>
      </c>
      <c r="J192" s="15">
        <f t="shared" si="15"/>
        <v>32.159999999999997</v>
      </c>
      <c r="K192" s="8">
        <v>82</v>
      </c>
      <c r="L192" s="8">
        <v>82</v>
      </c>
      <c r="M192" s="15">
        <f t="shared" si="16"/>
        <v>8.2000000000000011</v>
      </c>
      <c r="N192" s="8">
        <v>94</v>
      </c>
      <c r="O192" s="8">
        <v>94</v>
      </c>
      <c r="P192" s="15">
        <f t="shared" si="17"/>
        <v>9.4</v>
      </c>
      <c r="Q192" s="10"/>
      <c r="R192" s="201" t="str">
        <f t="shared" si="18"/>
        <v>BAJO</v>
      </c>
      <c r="S192" s="202"/>
      <c r="T192" s="202"/>
      <c r="U192" s="203"/>
      <c r="V192" s="33">
        <f t="shared" si="19"/>
        <v>49.76</v>
      </c>
      <c r="W192" s="24"/>
      <c r="X192" s="10"/>
    </row>
    <row r="193" spans="1:24" ht="15.75" customHeight="1" x14ac:dyDescent="0.25">
      <c r="A193" s="38">
        <v>22</v>
      </c>
      <c r="B193" s="124" t="s">
        <v>179</v>
      </c>
      <c r="C193" s="45">
        <v>99</v>
      </c>
      <c r="D193" s="8">
        <v>77</v>
      </c>
      <c r="E193" s="8">
        <v>95</v>
      </c>
      <c r="F193" s="8"/>
      <c r="G193" s="8"/>
      <c r="H193" s="8"/>
      <c r="I193" s="8">
        <v>40</v>
      </c>
      <c r="J193" s="15">
        <f t="shared" si="15"/>
        <v>68.239999999999995</v>
      </c>
      <c r="K193" s="8">
        <v>97</v>
      </c>
      <c r="L193" s="8">
        <v>97</v>
      </c>
      <c r="M193" s="15">
        <f t="shared" si="16"/>
        <v>9.7000000000000011</v>
      </c>
      <c r="N193" s="8">
        <v>100</v>
      </c>
      <c r="O193" s="8">
        <v>100</v>
      </c>
      <c r="P193" s="15">
        <f t="shared" si="17"/>
        <v>10</v>
      </c>
      <c r="Q193" s="10"/>
      <c r="R193" s="201" t="str">
        <f t="shared" si="18"/>
        <v>ALTO</v>
      </c>
      <c r="S193" s="202"/>
      <c r="T193" s="202"/>
      <c r="U193" s="203"/>
      <c r="V193" s="33">
        <f t="shared" si="19"/>
        <v>87.94</v>
      </c>
      <c r="W193" s="24"/>
      <c r="X193" s="10"/>
    </row>
    <row r="194" spans="1:24" ht="15.75" customHeight="1" x14ac:dyDescent="0.25">
      <c r="A194" s="38">
        <v>23</v>
      </c>
      <c r="B194" s="116" t="s">
        <v>415</v>
      </c>
      <c r="C194" s="45">
        <v>100</v>
      </c>
      <c r="D194" s="8">
        <v>100</v>
      </c>
      <c r="E194" s="8">
        <v>100</v>
      </c>
      <c r="F194" s="8"/>
      <c r="G194" s="8"/>
      <c r="H194" s="8"/>
      <c r="I194" s="8">
        <v>40</v>
      </c>
      <c r="J194" s="15">
        <f t="shared" si="15"/>
        <v>75.2</v>
      </c>
      <c r="K194" s="8">
        <v>65</v>
      </c>
      <c r="L194" s="8">
        <v>65</v>
      </c>
      <c r="M194" s="15">
        <f t="shared" si="16"/>
        <v>6.5</v>
      </c>
      <c r="N194" s="8">
        <v>65</v>
      </c>
      <c r="O194" s="8">
        <v>65</v>
      </c>
      <c r="P194" s="15">
        <f t="shared" si="17"/>
        <v>6.5</v>
      </c>
      <c r="Q194" s="10"/>
      <c r="R194" s="201" t="str">
        <f t="shared" si="18"/>
        <v>ALTO</v>
      </c>
      <c r="S194" s="202"/>
      <c r="T194" s="202"/>
      <c r="U194" s="203"/>
      <c r="V194" s="33">
        <f t="shared" si="19"/>
        <v>88.2</v>
      </c>
      <c r="W194" s="24"/>
      <c r="X194" s="10"/>
    </row>
    <row r="195" spans="1:24" ht="15.75" customHeight="1" x14ac:dyDescent="0.25">
      <c r="A195" s="38">
        <v>24</v>
      </c>
      <c r="B195" s="124" t="s">
        <v>815</v>
      </c>
      <c r="C195" s="45">
        <v>69</v>
      </c>
      <c r="D195" s="8">
        <v>95</v>
      </c>
      <c r="E195" s="8">
        <v>88</v>
      </c>
      <c r="F195" s="8"/>
      <c r="G195" s="8"/>
      <c r="H195" s="8"/>
      <c r="I195" s="8">
        <v>67</v>
      </c>
      <c r="J195" s="15">
        <f t="shared" si="15"/>
        <v>65.84</v>
      </c>
      <c r="K195" s="8">
        <v>97</v>
      </c>
      <c r="L195" s="8">
        <v>97</v>
      </c>
      <c r="M195" s="15">
        <f t="shared" si="16"/>
        <v>9.7000000000000011</v>
      </c>
      <c r="N195" s="8">
        <v>94</v>
      </c>
      <c r="O195" s="8">
        <v>94</v>
      </c>
      <c r="P195" s="15">
        <f t="shared" si="17"/>
        <v>9.4</v>
      </c>
      <c r="Q195" s="10"/>
      <c r="R195" s="201" t="str">
        <f t="shared" si="18"/>
        <v>ALTO</v>
      </c>
      <c r="S195" s="202"/>
      <c r="T195" s="202"/>
      <c r="U195" s="203"/>
      <c r="V195" s="33">
        <f t="shared" si="19"/>
        <v>84.940000000000012</v>
      </c>
      <c r="W195" s="24"/>
      <c r="X195" s="10"/>
    </row>
    <row r="196" spans="1:24" ht="15.75" customHeight="1" x14ac:dyDescent="0.25">
      <c r="A196" s="38">
        <v>25</v>
      </c>
      <c r="B196" s="124" t="s">
        <v>180</v>
      </c>
      <c r="C196" s="45">
        <v>99</v>
      </c>
      <c r="D196" s="8">
        <v>90</v>
      </c>
      <c r="E196" s="8">
        <v>55</v>
      </c>
      <c r="F196" s="8"/>
      <c r="G196" s="8"/>
      <c r="H196" s="8"/>
      <c r="I196" s="8">
        <v>40</v>
      </c>
      <c r="J196" s="15">
        <f t="shared" si="15"/>
        <v>61.76</v>
      </c>
      <c r="K196" s="8">
        <v>94</v>
      </c>
      <c r="L196" s="8">
        <v>94</v>
      </c>
      <c r="M196" s="15">
        <f t="shared" si="16"/>
        <v>9.4</v>
      </c>
      <c r="N196" s="8">
        <v>85</v>
      </c>
      <c r="O196" s="8">
        <v>85</v>
      </c>
      <c r="P196" s="15">
        <f t="shared" si="17"/>
        <v>8.5</v>
      </c>
      <c r="Q196" s="10"/>
      <c r="R196" s="201" t="str">
        <f t="shared" si="18"/>
        <v>ALTO</v>
      </c>
      <c r="S196" s="202"/>
      <c r="T196" s="202"/>
      <c r="U196" s="203"/>
      <c r="V196" s="33">
        <f t="shared" si="19"/>
        <v>79.66</v>
      </c>
      <c r="W196" s="24"/>
      <c r="X196" s="10"/>
    </row>
    <row r="197" spans="1:24" ht="15.75" customHeight="1" x14ac:dyDescent="0.25">
      <c r="A197" s="38">
        <v>26</v>
      </c>
      <c r="B197" s="124" t="s">
        <v>181</v>
      </c>
      <c r="C197" s="45">
        <v>41</v>
      </c>
      <c r="D197" s="8">
        <v>59</v>
      </c>
      <c r="E197" s="8">
        <v>78</v>
      </c>
      <c r="F197" s="8"/>
      <c r="G197" s="8"/>
      <c r="H197" s="8"/>
      <c r="I197" s="8">
        <v>40</v>
      </c>
      <c r="J197" s="15">
        <f t="shared" si="15"/>
        <v>45.92</v>
      </c>
      <c r="K197" s="8">
        <v>87</v>
      </c>
      <c r="L197" s="8">
        <v>87</v>
      </c>
      <c r="M197" s="15">
        <f t="shared" si="16"/>
        <v>8.7000000000000011</v>
      </c>
      <c r="N197" s="8">
        <v>99</v>
      </c>
      <c r="O197" s="8">
        <v>99</v>
      </c>
      <c r="P197" s="15">
        <f t="shared" si="17"/>
        <v>9.9</v>
      </c>
      <c r="Q197" s="10"/>
      <c r="R197" s="201" t="str">
        <f t="shared" si="18"/>
        <v>BAJO</v>
      </c>
      <c r="S197" s="202"/>
      <c r="T197" s="202"/>
      <c r="U197" s="203"/>
      <c r="V197" s="33">
        <f t="shared" si="19"/>
        <v>64.52000000000001</v>
      </c>
      <c r="W197" s="24"/>
      <c r="X197" s="10"/>
    </row>
    <row r="198" spans="1:24" ht="15.75" customHeight="1" x14ac:dyDescent="0.25">
      <c r="A198" s="38">
        <v>27</v>
      </c>
      <c r="B198" s="124" t="s">
        <v>181</v>
      </c>
      <c r="C198" s="45"/>
      <c r="D198" s="8"/>
      <c r="E198" s="8"/>
      <c r="F198" s="8"/>
      <c r="G198" s="8"/>
      <c r="H198" s="8"/>
      <c r="I198" s="8">
        <v>40</v>
      </c>
      <c r="J198" s="15" t="e">
        <f t="shared" si="15"/>
        <v>#DIV/0!</v>
      </c>
      <c r="K198" s="8"/>
      <c r="L198" s="8"/>
      <c r="M198" s="15" t="e">
        <f t="shared" si="16"/>
        <v>#DIV/0!</v>
      </c>
      <c r="N198" s="8"/>
      <c r="O198" s="8"/>
      <c r="P198" s="15" t="e">
        <f t="shared" si="17"/>
        <v>#DIV/0!</v>
      </c>
      <c r="Q198" s="10"/>
      <c r="R198" s="201" t="e">
        <f t="shared" si="18"/>
        <v>#DIV/0!</v>
      </c>
      <c r="S198" s="202"/>
      <c r="T198" s="202"/>
      <c r="U198" s="203"/>
      <c r="V198" s="33" t="e">
        <f t="shared" si="19"/>
        <v>#DIV/0!</v>
      </c>
      <c r="W198" s="24"/>
      <c r="X198" s="10"/>
    </row>
    <row r="199" spans="1:24" ht="15.75" customHeight="1" x14ac:dyDescent="0.25">
      <c r="A199" s="38">
        <v>28</v>
      </c>
      <c r="B199" s="124" t="s">
        <v>551</v>
      </c>
      <c r="C199" s="45">
        <v>99</v>
      </c>
      <c r="D199" s="8">
        <v>82</v>
      </c>
      <c r="E199" s="8">
        <v>77</v>
      </c>
      <c r="F199" s="8"/>
      <c r="G199" s="8"/>
      <c r="H199" s="8"/>
      <c r="I199" s="8">
        <v>40</v>
      </c>
      <c r="J199" s="15">
        <f t="shared" si="15"/>
        <v>65.11999999999999</v>
      </c>
      <c r="K199" s="8">
        <v>73</v>
      </c>
      <c r="L199" s="8">
        <v>73</v>
      </c>
      <c r="M199" s="15">
        <f t="shared" si="16"/>
        <v>7.3000000000000007</v>
      </c>
      <c r="N199" s="8">
        <v>79</v>
      </c>
      <c r="O199" s="8">
        <v>79</v>
      </c>
      <c r="P199" s="15">
        <f t="shared" si="17"/>
        <v>7.9</v>
      </c>
      <c r="Q199" s="10"/>
      <c r="R199" s="201" t="str">
        <f t="shared" si="18"/>
        <v>ALTO</v>
      </c>
      <c r="S199" s="202"/>
      <c r="T199" s="202"/>
      <c r="U199" s="203"/>
      <c r="V199" s="33">
        <f t="shared" si="19"/>
        <v>80.319999999999993</v>
      </c>
      <c r="W199" s="24"/>
      <c r="X199" s="10"/>
    </row>
    <row r="200" spans="1:24" ht="15.75" customHeight="1" x14ac:dyDescent="0.25">
      <c r="A200" s="38">
        <v>29</v>
      </c>
      <c r="B200" s="124" t="s">
        <v>182</v>
      </c>
      <c r="C200" s="45">
        <v>59</v>
      </c>
      <c r="D200" s="8">
        <v>82</v>
      </c>
      <c r="E200" s="8">
        <v>49</v>
      </c>
      <c r="F200" s="8"/>
      <c r="G200" s="8"/>
      <c r="H200" s="8"/>
      <c r="I200" s="8">
        <v>40</v>
      </c>
      <c r="J200" s="15">
        <f t="shared" si="15"/>
        <v>48.800000000000004</v>
      </c>
      <c r="K200" s="8">
        <v>86</v>
      </c>
      <c r="L200" s="8">
        <v>86</v>
      </c>
      <c r="M200" s="15">
        <f t="shared" si="16"/>
        <v>8.6</v>
      </c>
      <c r="N200" s="8">
        <v>98</v>
      </c>
      <c r="O200" s="8">
        <v>98</v>
      </c>
      <c r="P200" s="15">
        <f t="shared" si="17"/>
        <v>9.8000000000000007</v>
      </c>
      <c r="Q200" s="10"/>
      <c r="R200" s="201" t="str">
        <f t="shared" si="18"/>
        <v>BASICO</v>
      </c>
      <c r="S200" s="202"/>
      <c r="T200" s="202"/>
      <c r="U200" s="203"/>
      <c r="V200" s="33">
        <f t="shared" si="19"/>
        <v>67.2</v>
      </c>
      <c r="W200" s="24"/>
      <c r="X200" s="10"/>
    </row>
    <row r="201" spans="1:24" ht="15.75" customHeight="1" x14ac:dyDescent="0.25">
      <c r="A201" s="38">
        <v>30</v>
      </c>
      <c r="B201" s="124" t="s">
        <v>183</v>
      </c>
      <c r="C201" s="45">
        <v>46</v>
      </c>
      <c r="D201" s="8">
        <v>93</v>
      </c>
      <c r="E201" s="8">
        <v>92</v>
      </c>
      <c r="F201" s="8"/>
      <c r="G201" s="8"/>
      <c r="H201" s="8"/>
      <c r="I201" s="8">
        <v>60</v>
      </c>
      <c r="J201" s="15">
        <f t="shared" si="15"/>
        <v>60.239999999999995</v>
      </c>
      <c r="K201" s="8">
        <v>93</v>
      </c>
      <c r="L201" s="8">
        <v>93</v>
      </c>
      <c r="M201" s="15">
        <f t="shared" si="16"/>
        <v>9.3000000000000007</v>
      </c>
      <c r="N201" s="8">
        <v>85</v>
      </c>
      <c r="O201" s="8">
        <v>85</v>
      </c>
      <c r="P201" s="15">
        <f t="shared" si="17"/>
        <v>8.5</v>
      </c>
      <c r="Q201" s="10"/>
      <c r="R201" s="201" t="str">
        <f t="shared" si="18"/>
        <v>BASICO</v>
      </c>
      <c r="S201" s="202"/>
      <c r="T201" s="202"/>
      <c r="U201" s="203"/>
      <c r="V201" s="33">
        <f t="shared" si="19"/>
        <v>78.039999999999992</v>
      </c>
      <c r="W201" s="24"/>
      <c r="X201" s="10"/>
    </row>
    <row r="202" spans="1:24" ht="15.75" customHeight="1" x14ac:dyDescent="0.25">
      <c r="A202" s="38">
        <v>31</v>
      </c>
      <c r="B202" s="124" t="s">
        <v>275</v>
      </c>
      <c r="C202" s="45">
        <v>36</v>
      </c>
      <c r="D202" s="8">
        <v>98</v>
      </c>
      <c r="E202" s="8">
        <v>81</v>
      </c>
      <c r="F202" s="8"/>
      <c r="G202" s="8"/>
      <c r="H202" s="8"/>
      <c r="I202" s="8">
        <v>67</v>
      </c>
      <c r="J202" s="15">
        <f t="shared" si="15"/>
        <v>56.96</v>
      </c>
      <c r="K202" s="8">
        <v>80</v>
      </c>
      <c r="L202" s="8">
        <v>80</v>
      </c>
      <c r="M202" s="15">
        <f t="shared" si="16"/>
        <v>8</v>
      </c>
      <c r="N202" s="8">
        <v>89</v>
      </c>
      <c r="O202" s="8">
        <v>89</v>
      </c>
      <c r="P202" s="15">
        <f t="shared" si="17"/>
        <v>8.9</v>
      </c>
      <c r="Q202" s="10"/>
      <c r="R202" s="201" t="str">
        <f t="shared" si="18"/>
        <v>BASICO</v>
      </c>
      <c r="S202" s="202"/>
      <c r="T202" s="202"/>
      <c r="U202" s="203"/>
      <c r="V202" s="33">
        <f t="shared" si="19"/>
        <v>73.860000000000014</v>
      </c>
      <c r="W202" s="24"/>
      <c r="X202" s="10"/>
    </row>
    <row r="203" spans="1:24" ht="15.75" customHeight="1" x14ac:dyDescent="0.25">
      <c r="A203" s="38">
        <v>32</v>
      </c>
      <c r="B203" s="124" t="s">
        <v>427</v>
      </c>
      <c r="C203" s="45">
        <v>71</v>
      </c>
      <c r="D203" s="8">
        <v>64</v>
      </c>
      <c r="E203" s="8">
        <v>68</v>
      </c>
      <c r="F203" s="8"/>
      <c r="G203" s="8"/>
      <c r="H203" s="8"/>
      <c r="I203" s="8">
        <v>40</v>
      </c>
      <c r="J203" s="15">
        <f t="shared" si="15"/>
        <v>51.92</v>
      </c>
      <c r="K203" s="8">
        <v>91</v>
      </c>
      <c r="L203" s="8">
        <v>91</v>
      </c>
      <c r="M203" s="15">
        <f t="shared" si="16"/>
        <v>9.1</v>
      </c>
      <c r="N203" s="8">
        <v>86</v>
      </c>
      <c r="O203" s="8">
        <v>86</v>
      </c>
      <c r="P203" s="15">
        <f t="shared" si="17"/>
        <v>8.6</v>
      </c>
      <c r="Q203" s="10"/>
      <c r="R203" s="201" t="str">
        <f t="shared" si="18"/>
        <v>BASICO</v>
      </c>
      <c r="S203" s="202"/>
      <c r="T203" s="202"/>
      <c r="U203" s="203"/>
      <c r="V203" s="33">
        <f t="shared" si="19"/>
        <v>69.62</v>
      </c>
      <c r="W203" s="24"/>
      <c r="X203" s="10"/>
    </row>
    <row r="204" spans="1:24" ht="15.75" customHeight="1" x14ac:dyDescent="0.25">
      <c r="A204" s="38">
        <v>33</v>
      </c>
      <c r="B204" s="124" t="s">
        <v>816</v>
      </c>
      <c r="C204" s="45">
        <v>47</v>
      </c>
      <c r="D204" s="8">
        <v>91</v>
      </c>
      <c r="E204" s="8">
        <v>49</v>
      </c>
      <c r="F204" s="8"/>
      <c r="G204" s="8"/>
      <c r="H204" s="8"/>
      <c r="I204" s="8">
        <v>0</v>
      </c>
      <c r="J204" s="15">
        <f t="shared" si="15"/>
        <v>44.88</v>
      </c>
      <c r="K204" s="8">
        <v>98</v>
      </c>
      <c r="L204" s="8">
        <v>98</v>
      </c>
      <c r="M204" s="15">
        <f t="shared" si="16"/>
        <v>9.8000000000000007</v>
      </c>
      <c r="N204" s="8">
        <v>99</v>
      </c>
      <c r="O204" s="8">
        <v>99</v>
      </c>
      <c r="P204" s="15">
        <f t="shared" si="17"/>
        <v>9.9</v>
      </c>
      <c r="Q204" s="10"/>
      <c r="R204" s="201" t="str">
        <f t="shared" si="18"/>
        <v>BAJO</v>
      </c>
      <c r="S204" s="202"/>
      <c r="T204" s="202"/>
      <c r="U204" s="203"/>
      <c r="V204" s="33">
        <f t="shared" si="19"/>
        <v>64.580000000000013</v>
      </c>
      <c r="W204" s="24"/>
      <c r="X204" s="10"/>
    </row>
    <row r="205" spans="1:24" ht="15.75" customHeight="1" x14ac:dyDescent="0.25">
      <c r="A205" s="38">
        <v>34</v>
      </c>
      <c r="B205" s="124" t="s">
        <v>185</v>
      </c>
      <c r="C205" s="45">
        <v>97</v>
      </c>
      <c r="D205" s="8">
        <v>97</v>
      </c>
      <c r="E205" s="8">
        <v>97</v>
      </c>
      <c r="F205" s="8"/>
      <c r="G205" s="8"/>
      <c r="H205" s="8"/>
      <c r="I205" s="8">
        <v>40</v>
      </c>
      <c r="J205" s="15">
        <f t="shared" si="15"/>
        <v>73.040000000000006</v>
      </c>
      <c r="K205" s="8">
        <v>65</v>
      </c>
      <c r="L205" s="8">
        <v>65</v>
      </c>
      <c r="M205" s="15">
        <f t="shared" si="16"/>
        <v>6.5</v>
      </c>
      <c r="N205" s="8">
        <v>65</v>
      </c>
      <c r="O205" s="8">
        <v>65</v>
      </c>
      <c r="P205" s="15">
        <f t="shared" si="17"/>
        <v>6.5</v>
      </c>
      <c r="Q205" s="10"/>
      <c r="R205" s="201" t="str">
        <f t="shared" si="18"/>
        <v>ALTO</v>
      </c>
      <c r="S205" s="202"/>
      <c r="T205" s="202"/>
      <c r="U205" s="203"/>
      <c r="V205" s="33">
        <f t="shared" si="19"/>
        <v>86.04</v>
      </c>
      <c r="W205" s="24"/>
      <c r="X205" s="10"/>
    </row>
    <row r="206" spans="1:24" ht="15.75" customHeight="1" x14ac:dyDescent="0.25">
      <c r="A206" s="38">
        <v>35</v>
      </c>
      <c r="B206" s="124" t="s">
        <v>186</v>
      </c>
      <c r="C206" s="45">
        <v>72</v>
      </c>
      <c r="D206" s="8">
        <v>80</v>
      </c>
      <c r="E206" s="8">
        <v>31</v>
      </c>
      <c r="F206" s="8"/>
      <c r="G206" s="8"/>
      <c r="H206" s="8"/>
      <c r="I206" s="8">
        <v>67</v>
      </c>
      <c r="J206" s="15">
        <f t="shared" si="15"/>
        <v>49.28</v>
      </c>
      <c r="K206" s="8">
        <v>91</v>
      </c>
      <c r="L206" s="8">
        <v>91</v>
      </c>
      <c r="M206" s="15">
        <f t="shared" si="16"/>
        <v>9.1</v>
      </c>
      <c r="N206" s="8">
        <v>80</v>
      </c>
      <c r="O206" s="8">
        <v>80</v>
      </c>
      <c r="P206" s="15">
        <f t="shared" si="17"/>
        <v>8</v>
      </c>
      <c r="Q206" s="10"/>
      <c r="R206" s="201" t="str">
        <f t="shared" si="18"/>
        <v>BASICO</v>
      </c>
      <c r="S206" s="202"/>
      <c r="T206" s="202"/>
      <c r="U206" s="203"/>
      <c r="V206" s="33">
        <f t="shared" si="19"/>
        <v>66.38</v>
      </c>
      <c r="W206" s="24"/>
      <c r="X206" s="10"/>
    </row>
    <row r="207" spans="1:24" ht="15.75" customHeight="1" x14ac:dyDescent="0.25">
      <c r="A207" s="38">
        <v>36</v>
      </c>
      <c r="B207" s="68" t="s">
        <v>187</v>
      </c>
      <c r="C207" s="45">
        <v>96</v>
      </c>
      <c r="D207" s="8">
        <v>44</v>
      </c>
      <c r="E207" s="8">
        <v>72</v>
      </c>
      <c r="F207" s="8"/>
      <c r="G207" s="8"/>
      <c r="H207" s="8"/>
      <c r="I207" s="8">
        <v>40</v>
      </c>
      <c r="J207" s="15">
        <f t="shared" si="15"/>
        <v>54.080000000000005</v>
      </c>
      <c r="K207" s="8">
        <v>73</v>
      </c>
      <c r="L207" s="8">
        <v>73</v>
      </c>
      <c r="M207" s="15">
        <f t="shared" si="16"/>
        <v>7.3000000000000007</v>
      </c>
      <c r="N207" s="8">
        <v>98</v>
      </c>
      <c r="O207" s="8">
        <v>98</v>
      </c>
      <c r="P207" s="15">
        <f t="shared" si="17"/>
        <v>9.8000000000000007</v>
      </c>
      <c r="Q207" s="10"/>
      <c r="R207" s="201" t="str">
        <f t="shared" si="18"/>
        <v>BASICO</v>
      </c>
      <c r="S207" s="202"/>
      <c r="T207" s="202"/>
      <c r="U207" s="203"/>
      <c r="V207" s="33">
        <f t="shared" si="19"/>
        <v>71.180000000000007</v>
      </c>
      <c r="W207" s="24"/>
      <c r="X207" s="10"/>
    </row>
    <row r="208" spans="1:24" ht="15.75" customHeight="1" x14ac:dyDescent="0.25">
      <c r="A208" s="38">
        <v>37</v>
      </c>
      <c r="B208" s="171" t="s">
        <v>429</v>
      </c>
      <c r="C208" s="45">
        <v>90</v>
      </c>
      <c r="D208" s="8">
        <v>46</v>
      </c>
      <c r="E208" s="8">
        <v>60</v>
      </c>
      <c r="F208" s="8"/>
      <c r="G208" s="8"/>
      <c r="H208" s="8"/>
      <c r="I208" s="8">
        <v>40</v>
      </c>
      <c r="J208" s="15">
        <f t="shared" si="15"/>
        <v>50.239999999999995</v>
      </c>
      <c r="K208" s="8">
        <v>91</v>
      </c>
      <c r="L208" s="8">
        <v>91</v>
      </c>
      <c r="M208" s="15">
        <f t="shared" si="16"/>
        <v>9.1</v>
      </c>
      <c r="N208" s="8">
        <v>84</v>
      </c>
      <c r="O208" s="8">
        <v>84</v>
      </c>
      <c r="P208" s="15">
        <f t="shared" si="17"/>
        <v>8.4</v>
      </c>
      <c r="Q208" s="10"/>
      <c r="R208" s="201" t="str">
        <f t="shared" si="18"/>
        <v>BASICO</v>
      </c>
      <c r="S208" s="202"/>
      <c r="T208" s="202"/>
      <c r="U208" s="203"/>
      <c r="V208" s="33">
        <f t="shared" si="19"/>
        <v>67.739999999999995</v>
      </c>
      <c r="W208" s="24"/>
      <c r="X208" s="10"/>
    </row>
    <row r="209" spans="1:24" ht="15.75" customHeight="1" x14ac:dyDescent="0.25">
      <c r="A209" s="38">
        <v>38</v>
      </c>
      <c r="B209" s="128" t="s">
        <v>897</v>
      </c>
      <c r="C209" s="45">
        <v>67</v>
      </c>
      <c r="D209" s="8">
        <v>68</v>
      </c>
      <c r="E209" s="8">
        <v>56</v>
      </c>
      <c r="F209" s="8"/>
      <c r="G209" s="8"/>
      <c r="H209" s="8"/>
      <c r="I209" s="8">
        <v>67</v>
      </c>
      <c r="J209" s="15">
        <f t="shared" si="15"/>
        <v>51.199999999999996</v>
      </c>
      <c r="K209" s="8">
        <v>79</v>
      </c>
      <c r="L209" s="8">
        <v>79</v>
      </c>
      <c r="M209" s="15">
        <f t="shared" si="16"/>
        <v>7.9</v>
      </c>
      <c r="N209" s="8">
        <v>94</v>
      </c>
      <c r="O209" s="8">
        <v>94</v>
      </c>
      <c r="P209" s="15">
        <f t="shared" si="17"/>
        <v>9.4</v>
      </c>
      <c r="Q209" s="10"/>
      <c r="R209" s="201" t="str">
        <f t="shared" si="18"/>
        <v>BASICO</v>
      </c>
      <c r="S209" s="202"/>
      <c r="T209" s="202"/>
      <c r="U209" s="203"/>
      <c r="V209" s="33">
        <f t="shared" si="19"/>
        <v>68.5</v>
      </c>
      <c r="W209" s="24"/>
      <c r="X209" s="10"/>
    </row>
    <row r="210" spans="1:24" ht="15.75" customHeight="1" x14ac:dyDescent="0.25">
      <c r="A210" s="38">
        <v>39</v>
      </c>
      <c r="B210" s="170" t="s">
        <v>229</v>
      </c>
      <c r="C210" s="45">
        <v>34</v>
      </c>
      <c r="D210" s="8">
        <v>81</v>
      </c>
      <c r="E210" s="8">
        <v>60</v>
      </c>
      <c r="F210" s="8"/>
      <c r="G210" s="8"/>
      <c r="H210" s="8"/>
      <c r="I210" s="8">
        <v>60</v>
      </c>
      <c r="J210" s="15">
        <f>((AVERAGE(C210:H210))*72%)+I210*8%</f>
        <v>46.8</v>
      </c>
      <c r="K210" s="8">
        <v>96</v>
      </c>
      <c r="L210" s="8">
        <v>96</v>
      </c>
      <c r="M210" s="15">
        <f t="shared" si="16"/>
        <v>9.6000000000000014</v>
      </c>
      <c r="N210" s="8">
        <v>85</v>
      </c>
      <c r="O210" s="8">
        <v>85</v>
      </c>
      <c r="P210" s="15">
        <f t="shared" si="17"/>
        <v>8.5</v>
      </c>
      <c r="Q210" s="10"/>
      <c r="R210" s="201" t="str">
        <f t="shared" si="18"/>
        <v>BAJO</v>
      </c>
      <c r="S210" s="202"/>
      <c r="T210" s="202"/>
      <c r="U210" s="203"/>
      <c r="V210" s="33">
        <f t="shared" si="19"/>
        <v>64.900000000000006</v>
      </c>
      <c r="W210" s="24"/>
      <c r="X210" s="10"/>
    </row>
    <row r="211" spans="1:24" ht="15.75" customHeight="1" x14ac:dyDescent="0.25">
      <c r="A211" s="38">
        <v>40</v>
      </c>
      <c r="B211" s="120" t="s">
        <v>218</v>
      </c>
      <c r="C211" s="45">
        <v>83</v>
      </c>
      <c r="D211" s="8">
        <v>41</v>
      </c>
      <c r="E211" s="8">
        <v>49</v>
      </c>
      <c r="F211" s="8"/>
      <c r="G211" s="8"/>
      <c r="H211" s="8"/>
      <c r="I211" s="8">
        <v>60</v>
      </c>
      <c r="J211" s="15">
        <f t="shared" si="15"/>
        <v>46.319999999999993</v>
      </c>
      <c r="K211" s="8">
        <v>86</v>
      </c>
      <c r="L211" s="8">
        <v>86</v>
      </c>
      <c r="M211" s="15">
        <f t="shared" si="16"/>
        <v>8.6</v>
      </c>
      <c r="N211" s="8">
        <v>99</v>
      </c>
      <c r="O211" s="8">
        <v>99</v>
      </c>
      <c r="P211" s="15">
        <f t="shared" si="17"/>
        <v>9.9</v>
      </c>
      <c r="Q211" s="10"/>
      <c r="R211" s="201" t="str">
        <f t="shared" si="18"/>
        <v>BAJO</v>
      </c>
      <c r="S211" s="202"/>
      <c r="T211" s="202"/>
      <c r="U211" s="203"/>
      <c r="V211" s="33">
        <f t="shared" si="19"/>
        <v>64.819999999999993</v>
      </c>
      <c r="W211" s="24"/>
      <c r="X211" s="10"/>
    </row>
    <row r="212" spans="1:24" ht="15.75" customHeight="1" x14ac:dyDescent="0.25">
      <c r="A212" s="38">
        <v>41</v>
      </c>
      <c r="B212" s="70"/>
      <c r="C212" s="45"/>
      <c r="D212" s="8"/>
      <c r="E212" s="8"/>
      <c r="F212" s="8"/>
      <c r="G212" s="8"/>
      <c r="H212" s="8"/>
      <c r="I212" s="8"/>
      <c r="J212" s="15" t="e">
        <f t="shared" si="15"/>
        <v>#DIV/0!</v>
      </c>
      <c r="K212" s="8"/>
      <c r="L212" s="8"/>
      <c r="M212" s="15" t="e">
        <f t="shared" si="16"/>
        <v>#DIV/0!</v>
      </c>
      <c r="N212" s="8"/>
      <c r="O212" s="8"/>
      <c r="P212" s="15" t="e">
        <f t="shared" si="17"/>
        <v>#DIV/0!</v>
      </c>
      <c r="Q212" s="10"/>
      <c r="R212" s="201" t="e">
        <f t="shared" si="18"/>
        <v>#DIV/0!</v>
      </c>
      <c r="S212" s="202"/>
      <c r="T212" s="202"/>
      <c r="U212" s="203"/>
      <c r="V212" s="33" t="e">
        <f t="shared" si="19"/>
        <v>#DIV/0!</v>
      </c>
      <c r="W212" s="24"/>
      <c r="X212" s="10"/>
    </row>
    <row r="213" spans="1:24" ht="15.75" customHeight="1" x14ac:dyDescent="0.25">
      <c r="A213" s="38">
        <v>42</v>
      </c>
      <c r="B213" s="103"/>
      <c r="C213" s="45"/>
      <c r="D213" s="8"/>
      <c r="E213" s="8"/>
      <c r="F213" s="8"/>
      <c r="G213" s="8"/>
      <c r="H213" s="8"/>
      <c r="I213" s="8"/>
      <c r="J213" s="15" t="e">
        <f t="shared" si="15"/>
        <v>#DIV/0!</v>
      </c>
      <c r="K213" s="8"/>
      <c r="L213" s="8"/>
      <c r="M213" s="15" t="e">
        <f t="shared" si="16"/>
        <v>#DIV/0!</v>
      </c>
      <c r="N213" s="8"/>
      <c r="O213" s="8"/>
      <c r="P213" s="15" t="e">
        <f t="shared" si="17"/>
        <v>#DIV/0!</v>
      </c>
      <c r="Q213" s="10"/>
      <c r="R213" s="201" t="e">
        <f t="shared" si="18"/>
        <v>#DIV/0!</v>
      </c>
      <c r="S213" s="202"/>
      <c r="T213" s="202"/>
      <c r="U213" s="203"/>
      <c r="V213" s="33" t="e">
        <f t="shared" si="19"/>
        <v>#DIV/0!</v>
      </c>
      <c r="W213" s="24"/>
      <c r="X213" s="10"/>
    </row>
    <row r="214" spans="1:24" ht="15.75" customHeight="1" x14ac:dyDescent="0.25">
      <c r="A214" s="38">
        <v>43</v>
      </c>
      <c r="B214" s="101" t="s">
        <v>61</v>
      </c>
      <c r="C214" s="45"/>
      <c r="D214" s="8"/>
      <c r="E214" s="8"/>
      <c r="F214" s="8"/>
      <c r="G214" s="8"/>
      <c r="H214" s="8"/>
      <c r="I214" s="8"/>
      <c r="J214" s="15" t="e">
        <f t="shared" si="15"/>
        <v>#DIV/0!</v>
      </c>
      <c r="K214" s="8"/>
      <c r="L214" s="8"/>
      <c r="M214" s="15" t="e">
        <f t="shared" si="16"/>
        <v>#DIV/0!</v>
      </c>
      <c r="N214" s="8"/>
      <c r="O214" s="8"/>
      <c r="P214" s="15" t="e">
        <f t="shared" si="17"/>
        <v>#DIV/0!</v>
      </c>
      <c r="Q214" s="10"/>
      <c r="R214" s="201" t="e">
        <f t="shared" si="18"/>
        <v>#DIV/0!</v>
      </c>
      <c r="S214" s="202"/>
      <c r="T214" s="202"/>
      <c r="U214" s="203"/>
      <c r="V214" s="33" t="e">
        <f t="shared" si="19"/>
        <v>#DIV/0!</v>
      </c>
      <c r="W214" s="24"/>
      <c r="X214" s="10"/>
    </row>
    <row r="215" spans="1:24" ht="15.75" customHeight="1" x14ac:dyDescent="0.25">
      <c r="A215" s="38">
        <v>44</v>
      </c>
      <c r="B215" s="101"/>
      <c r="C215" s="45"/>
      <c r="D215" s="8"/>
      <c r="E215" s="8"/>
      <c r="F215" s="8"/>
      <c r="G215" s="8"/>
      <c r="H215" s="8"/>
      <c r="I215" s="8"/>
      <c r="J215" s="15" t="e">
        <f t="shared" si="15"/>
        <v>#DIV/0!</v>
      </c>
      <c r="K215" s="8"/>
      <c r="L215" s="8"/>
      <c r="M215" s="15" t="e">
        <f t="shared" si="16"/>
        <v>#DIV/0!</v>
      </c>
      <c r="N215" s="8"/>
      <c r="O215" s="8"/>
      <c r="P215" s="15" t="e">
        <f t="shared" si="17"/>
        <v>#DIV/0!</v>
      </c>
      <c r="Q215" s="10"/>
      <c r="R215" s="201" t="e">
        <f t="shared" si="18"/>
        <v>#DIV/0!</v>
      </c>
      <c r="S215" s="202"/>
      <c r="T215" s="202"/>
      <c r="U215" s="203"/>
      <c r="V215" s="33" t="e">
        <f t="shared" si="19"/>
        <v>#DIV/0!</v>
      </c>
      <c r="W215" s="24"/>
      <c r="X215" s="10"/>
    </row>
    <row r="216" spans="1:24" ht="15.75" customHeight="1" x14ac:dyDescent="0.25">
      <c r="A216" s="38">
        <v>45</v>
      </c>
      <c r="B216" s="101"/>
      <c r="C216" s="45"/>
      <c r="D216" s="8"/>
      <c r="E216" s="8"/>
      <c r="F216" s="8"/>
      <c r="G216" s="8"/>
      <c r="H216" s="8"/>
      <c r="I216" s="8"/>
      <c r="J216" s="15" t="e">
        <f t="shared" si="15"/>
        <v>#DIV/0!</v>
      </c>
      <c r="K216" s="8"/>
      <c r="L216" s="8"/>
      <c r="M216" s="15" t="e">
        <f t="shared" si="16"/>
        <v>#DIV/0!</v>
      </c>
      <c r="N216" s="8"/>
      <c r="O216" s="8"/>
      <c r="P216" s="15" t="e">
        <f t="shared" si="17"/>
        <v>#DIV/0!</v>
      </c>
      <c r="Q216" s="10"/>
      <c r="R216" s="201" t="e">
        <f t="shared" si="18"/>
        <v>#DIV/0!</v>
      </c>
      <c r="S216" s="202"/>
      <c r="T216" s="202"/>
      <c r="U216" s="203"/>
      <c r="V216" s="33" t="e">
        <f t="shared" si="19"/>
        <v>#DIV/0!</v>
      </c>
      <c r="W216" s="24"/>
      <c r="X216" s="10"/>
    </row>
    <row r="217" spans="1:24" ht="15.75" customHeight="1" thickBot="1" x14ac:dyDescent="0.3">
      <c r="A217" s="39">
        <v>46</v>
      </c>
      <c r="B217" s="102"/>
      <c r="C217" s="46"/>
      <c r="D217" s="47"/>
      <c r="E217" s="47"/>
      <c r="F217" s="47"/>
      <c r="G217" s="47"/>
      <c r="H217" s="47"/>
      <c r="I217" s="47"/>
      <c r="J217" s="48" t="e">
        <f t="shared" si="15"/>
        <v>#DIV/0!</v>
      </c>
      <c r="K217" s="47"/>
      <c r="L217" s="47"/>
      <c r="M217" s="48" t="e">
        <f t="shared" si="16"/>
        <v>#DIV/0!</v>
      </c>
      <c r="N217" s="47"/>
      <c r="O217" s="47"/>
      <c r="P217" s="48" t="e">
        <f t="shared" si="17"/>
        <v>#DIV/0!</v>
      </c>
      <c r="Q217" s="49"/>
      <c r="R217" s="330" t="e">
        <f t="shared" si="18"/>
        <v>#DIV/0!</v>
      </c>
      <c r="S217" s="331"/>
      <c r="T217" s="331"/>
      <c r="U217" s="332"/>
      <c r="V217" s="50" t="e">
        <f t="shared" si="19"/>
        <v>#DIV/0!</v>
      </c>
      <c r="W217" s="24"/>
      <c r="X217" s="10"/>
    </row>
    <row r="218" spans="1:24" ht="15.75" customHeight="1" x14ac:dyDescent="0.25">
      <c r="A218" s="263"/>
      <c r="B218" s="341"/>
      <c r="C218" s="257"/>
      <c r="D218" s="257"/>
      <c r="E218" s="267"/>
      <c r="F218" s="270"/>
      <c r="G218" s="270"/>
      <c r="H218" s="270"/>
      <c r="I218" s="270"/>
      <c r="J218" s="272"/>
      <c r="K218" s="272"/>
      <c r="L218" s="257"/>
      <c r="M218" s="259"/>
      <c r="N218" s="259"/>
      <c r="O218" s="259"/>
      <c r="P218" s="259"/>
      <c r="Q218" s="261"/>
      <c r="R218" s="277"/>
      <c r="S218" s="278"/>
      <c r="T218" s="279"/>
      <c r="U218" s="283"/>
      <c r="V218" s="284"/>
      <c r="W218" s="255"/>
      <c r="X218" s="181"/>
    </row>
    <row r="219" spans="1:24" ht="15.75" customHeight="1" x14ac:dyDescent="0.25">
      <c r="A219" s="264"/>
      <c r="B219" s="334"/>
      <c r="C219" s="205"/>
      <c r="D219" s="205"/>
      <c r="E219" s="210"/>
      <c r="F219" s="211"/>
      <c r="G219" s="211"/>
      <c r="H219" s="211"/>
      <c r="I219" s="211"/>
      <c r="J219" s="204"/>
      <c r="K219" s="204"/>
      <c r="L219" s="205"/>
      <c r="M219" s="185"/>
      <c r="N219" s="185"/>
      <c r="O219" s="185"/>
      <c r="P219" s="185"/>
      <c r="Q219" s="187"/>
      <c r="R219" s="188"/>
      <c r="S219" s="189"/>
      <c r="T219" s="190"/>
      <c r="U219" s="194"/>
      <c r="V219" s="285"/>
      <c r="W219" s="255"/>
      <c r="X219" s="181"/>
    </row>
    <row r="220" spans="1:24" ht="15.75" customHeight="1" x14ac:dyDescent="0.25">
      <c r="A220" s="264"/>
      <c r="B220" s="335"/>
      <c r="C220" s="205"/>
      <c r="D220" s="205"/>
      <c r="E220" s="210"/>
      <c r="F220" s="211"/>
      <c r="G220" s="211"/>
      <c r="H220" s="211"/>
      <c r="I220" s="211"/>
      <c r="J220" s="204"/>
      <c r="K220" s="204"/>
      <c r="L220" s="205"/>
      <c r="M220" s="185"/>
      <c r="N220" s="185"/>
      <c r="O220" s="185"/>
      <c r="P220" s="185"/>
      <c r="Q220" s="187"/>
      <c r="R220" s="188"/>
      <c r="S220" s="189"/>
      <c r="T220" s="190"/>
      <c r="U220" s="194"/>
      <c r="V220" s="285"/>
      <c r="W220" s="255"/>
      <c r="X220" s="181"/>
    </row>
    <row r="221" spans="1:24" ht="15.75" customHeight="1" thickBot="1" x14ac:dyDescent="0.3">
      <c r="A221" s="265"/>
      <c r="B221" s="336"/>
      <c r="C221" s="258"/>
      <c r="D221" s="258"/>
      <c r="E221" s="268"/>
      <c r="F221" s="271"/>
      <c r="G221" s="271"/>
      <c r="H221" s="271"/>
      <c r="I221" s="271"/>
      <c r="J221" s="273"/>
      <c r="K221" s="273"/>
      <c r="L221" s="258"/>
      <c r="M221" s="260"/>
      <c r="N221" s="260"/>
      <c r="O221" s="260"/>
      <c r="P221" s="260"/>
      <c r="Q221" s="262"/>
      <c r="R221" s="280"/>
      <c r="S221" s="281"/>
      <c r="T221" s="282"/>
      <c r="U221" s="286"/>
      <c r="V221" s="287"/>
      <c r="W221" s="256"/>
      <c r="X221" s="182"/>
    </row>
    <row r="222" spans="1:24" ht="15.75" customHeight="1" x14ac:dyDescent="0.25"/>
    <row r="223" spans="1:24" ht="15.75" customHeight="1" x14ac:dyDescent="0.25"/>
    <row r="224" spans="1: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</sheetData>
  <sheetProtection algorithmName="SHA-512" hashValue="TBqLgeoOkmFiZkqmyGXPp81kgK7e28m+4yxv0GVZho52h+BfQxHz64J9YQTkUBN8wrahe/xdCu1AAJeIumhekg==" saltValue="S4CJfg5FKjO0WS/eMIFrAg==" spinCount="100000" sheet="1" objects="1" scenarios="1"/>
  <sortState xmlns:xlrd2="http://schemas.microsoft.com/office/spreadsheetml/2017/richdata2" ref="B141:B153">
    <sortCondition ref="B141:B153"/>
  </sortState>
  <mergeCells count="361">
    <mergeCell ref="W218:W221"/>
    <mergeCell ref="X218:X221"/>
    <mergeCell ref="B220:B221"/>
    <mergeCell ref="L218:L221"/>
    <mergeCell ref="M218:M221"/>
    <mergeCell ref="N218:N221"/>
    <mergeCell ref="O218:O221"/>
    <mergeCell ref="P218:P221"/>
    <mergeCell ref="Q218:Q221"/>
    <mergeCell ref="F218:F221"/>
    <mergeCell ref="G218:G221"/>
    <mergeCell ref="H218:H221"/>
    <mergeCell ref="I218:I221"/>
    <mergeCell ref="J218:J221"/>
    <mergeCell ref="K218:K221"/>
    <mergeCell ref="A218:A221"/>
    <mergeCell ref="B218:B219"/>
    <mergeCell ref="C218:C221"/>
    <mergeCell ref="D218:D221"/>
    <mergeCell ref="E218:E221"/>
    <mergeCell ref="R218:T221"/>
    <mergeCell ref="U218:V221"/>
    <mergeCell ref="R207:U207"/>
    <mergeCell ref="R208:U208"/>
    <mergeCell ref="R209:U209"/>
    <mergeCell ref="R210:U210"/>
    <mergeCell ref="R211:U211"/>
    <mergeCell ref="R212:U212"/>
    <mergeCell ref="R213:U213"/>
    <mergeCell ref="R214:U214"/>
    <mergeCell ref="R215:U215"/>
    <mergeCell ref="R216:U216"/>
    <mergeCell ref="R217:U217"/>
    <mergeCell ref="R204:U204"/>
    <mergeCell ref="R205:U205"/>
    <mergeCell ref="R206:U206"/>
    <mergeCell ref="R195:U195"/>
    <mergeCell ref="R196:U196"/>
    <mergeCell ref="R197:U197"/>
    <mergeCell ref="R198:U198"/>
    <mergeCell ref="R199:U199"/>
    <mergeCell ref="R200:U200"/>
    <mergeCell ref="R201:U201"/>
    <mergeCell ref="R202:U202"/>
    <mergeCell ref="R203:U203"/>
    <mergeCell ref="R189:U189"/>
    <mergeCell ref="R190:U190"/>
    <mergeCell ref="R191:U191"/>
    <mergeCell ref="R192:U192"/>
    <mergeCell ref="R193:U193"/>
    <mergeCell ref="R194:U194"/>
    <mergeCell ref="R183:U183"/>
    <mergeCell ref="R184:U184"/>
    <mergeCell ref="R185:U185"/>
    <mergeCell ref="R186:U186"/>
    <mergeCell ref="R187:U187"/>
    <mergeCell ref="R188:U188"/>
    <mergeCell ref="R177:U177"/>
    <mergeCell ref="R178:U178"/>
    <mergeCell ref="R179:U179"/>
    <mergeCell ref="R180:U180"/>
    <mergeCell ref="R181:U181"/>
    <mergeCell ref="R182:U182"/>
    <mergeCell ref="R172:U172"/>
    <mergeCell ref="R173:U173"/>
    <mergeCell ref="R174:U174"/>
    <mergeCell ref="R175:U175"/>
    <mergeCell ref="R176:U176"/>
    <mergeCell ref="A168:B168"/>
    <mergeCell ref="C168:I168"/>
    <mergeCell ref="J168:Q168"/>
    <mergeCell ref="R168:X168"/>
    <mergeCell ref="A169:A171"/>
    <mergeCell ref="B169:B171"/>
    <mergeCell ref="C169:J169"/>
    <mergeCell ref="K169:M170"/>
    <mergeCell ref="N169:P170"/>
    <mergeCell ref="Q169:Q171"/>
    <mergeCell ref="R171:U171"/>
    <mergeCell ref="R169:V170"/>
    <mergeCell ref="W169:X170"/>
    <mergeCell ref="C170:C171"/>
    <mergeCell ref="D170:D171"/>
    <mergeCell ref="E170:E171"/>
    <mergeCell ref="F170:F171"/>
    <mergeCell ref="G170:G171"/>
    <mergeCell ref="H170:H171"/>
    <mergeCell ref="I170:I171"/>
    <mergeCell ref="J170:J171"/>
    <mergeCell ref="W160:W163"/>
    <mergeCell ref="X160:X163"/>
    <mergeCell ref="B162:B163"/>
    <mergeCell ref="A167:P167"/>
    <mergeCell ref="Q167:X167"/>
    <mergeCell ref="L160:L163"/>
    <mergeCell ref="M160:M163"/>
    <mergeCell ref="N160:N163"/>
    <mergeCell ref="O160:O163"/>
    <mergeCell ref="P160:P163"/>
    <mergeCell ref="Q160:Q163"/>
    <mergeCell ref="F160:F163"/>
    <mergeCell ref="G160:G163"/>
    <mergeCell ref="H160:H163"/>
    <mergeCell ref="I160:I163"/>
    <mergeCell ref="J160:J163"/>
    <mergeCell ref="K160:K163"/>
    <mergeCell ref="R155:U155"/>
    <mergeCell ref="R156:U156"/>
    <mergeCell ref="R157:U157"/>
    <mergeCell ref="R158:U158"/>
    <mergeCell ref="R159:U159"/>
    <mergeCell ref="A160:A163"/>
    <mergeCell ref="B160:B161"/>
    <mergeCell ref="C160:C163"/>
    <mergeCell ref="D160:D163"/>
    <mergeCell ref="E160:E163"/>
    <mergeCell ref="R160:T163"/>
    <mergeCell ref="U160:V163"/>
    <mergeCell ref="R149:U149"/>
    <mergeCell ref="R150:U150"/>
    <mergeCell ref="R151:U151"/>
    <mergeCell ref="R152:U152"/>
    <mergeCell ref="R153:U153"/>
    <mergeCell ref="R154:U154"/>
    <mergeCell ref="R143:U143"/>
    <mergeCell ref="R144:U144"/>
    <mergeCell ref="R145:U145"/>
    <mergeCell ref="R146:U146"/>
    <mergeCell ref="R147:U147"/>
    <mergeCell ref="R148:U148"/>
    <mergeCell ref="R137:U137"/>
    <mergeCell ref="R138:U138"/>
    <mergeCell ref="R139:U139"/>
    <mergeCell ref="R140:U140"/>
    <mergeCell ref="R141:U141"/>
    <mergeCell ref="R142:U142"/>
    <mergeCell ref="R131:U131"/>
    <mergeCell ref="R132:U132"/>
    <mergeCell ref="R133:U133"/>
    <mergeCell ref="R134:U134"/>
    <mergeCell ref="R135:U135"/>
    <mergeCell ref="R136:U136"/>
    <mergeCell ref="R125:U125"/>
    <mergeCell ref="R126:U126"/>
    <mergeCell ref="R127:U127"/>
    <mergeCell ref="R128:U128"/>
    <mergeCell ref="R129:U129"/>
    <mergeCell ref="R130:U130"/>
    <mergeCell ref="R119:U119"/>
    <mergeCell ref="R120:U120"/>
    <mergeCell ref="R121:U121"/>
    <mergeCell ref="R122:U122"/>
    <mergeCell ref="R123:U123"/>
    <mergeCell ref="R124:U124"/>
    <mergeCell ref="R114:U114"/>
    <mergeCell ref="R115:U115"/>
    <mergeCell ref="R116:U116"/>
    <mergeCell ref="R117:U117"/>
    <mergeCell ref="R118:U118"/>
    <mergeCell ref="R111:V112"/>
    <mergeCell ref="W111:X112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A110:B110"/>
    <mergeCell ref="C110:I110"/>
    <mergeCell ref="J110:Q110"/>
    <mergeCell ref="R110:X110"/>
    <mergeCell ref="A111:A113"/>
    <mergeCell ref="B111:B113"/>
    <mergeCell ref="C111:J111"/>
    <mergeCell ref="K111:M112"/>
    <mergeCell ref="N111:P112"/>
    <mergeCell ref="Q111:Q113"/>
    <mergeCell ref="R113:U113"/>
    <mergeCell ref="W105:W107"/>
    <mergeCell ref="X105:X107"/>
    <mergeCell ref="B106:B107"/>
    <mergeCell ref="A109:P109"/>
    <mergeCell ref="Q109:X109"/>
    <mergeCell ref="L105:L107"/>
    <mergeCell ref="M105:M107"/>
    <mergeCell ref="N105:N107"/>
    <mergeCell ref="O105:O107"/>
    <mergeCell ref="P105:P107"/>
    <mergeCell ref="Q105:Q107"/>
    <mergeCell ref="F105:F107"/>
    <mergeCell ref="G105:G107"/>
    <mergeCell ref="H105:H107"/>
    <mergeCell ref="I105:I107"/>
    <mergeCell ref="J105:J107"/>
    <mergeCell ref="K105:K107"/>
    <mergeCell ref="R102:U102"/>
    <mergeCell ref="R103:U103"/>
    <mergeCell ref="R104:U104"/>
    <mergeCell ref="A105:A107"/>
    <mergeCell ref="C105:C107"/>
    <mergeCell ref="D105:D107"/>
    <mergeCell ref="E105:E107"/>
    <mergeCell ref="R105:T107"/>
    <mergeCell ref="U105:V107"/>
    <mergeCell ref="R96:U96"/>
    <mergeCell ref="R97:U97"/>
    <mergeCell ref="R98:U98"/>
    <mergeCell ref="R99:U99"/>
    <mergeCell ref="R100:U100"/>
    <mergeCell ref="R101:U101"/>
    <mergeCell ref="R90:U90"/>
    <mergeCell ref="R91:U91"/>
    <mergeCell ref="R92:U92"/>
    <mergeCell ref="R93:U93"/>
    <mergeCell ref="R94:U94"/>
    <mergeCell ref="R95:U95"/>
    <mergeCell ref="R84:U84"/>
    <mergeCell ref="R85:U85"/>
    <mergeCell ref="R86:U86"/>
    <mergeCell ref="R87:U87"/>
    <mergeCell ref="R88:U88"/>
    <mergeCell ref="R89:U89"/>
    <mergeCell ref="R78:U78"/>
    <mergeCell ref="R79:U79"/>
    <mergeCell ref="R80:U80"/>
    <mergeCell ref="R81:U81"/>
    <mergeCell ref="R82:U82"/>
    <mergeCell ref="R83:U83"/>
    <mergeCell ref="R72:U72"/>
    <mergeCell ref="R73:U73"/>
    <mergeCell ref="R74:U74"/>
    <mergeCell ref="R75:U75"/>
    <mergeCell ref="R76:U76"/>
    <mergeCell ref="R77:U77"/>
    <mergeCell ref="R66:U66"/>
    <mergeCell ref="R67:U67"/>
    <mergeCell ref="R68:U68"/>
    <mergeCell ref="R69:U69"/>
    <mergeCell ref="R70:U70"/>
    <mergeCell ref="R71:U71"/>
    <mergeCell ref="R61:U61"/>
    <mergeCell ref="R62:U62"/>
    <mergeCell ref="R63:U63"/>
    <mergeCell ref="R64:U64"/>
    <mergeCell ref="R65:U65"/>
    <mergeCell ref="R58:V59"/>
    <mergeCell ref="W58:X59"/>
    <mergeCell ref="C59:C60"/>
    <mergeCell ref="D59:D60"/>
    <mergeCell ref="E59:E60"/>
    <mergeCell ref="F59:F60"/>
    <mergeCell ref="G59:G60"/>
    <mergeCell ref="H59:H60"/>
    <mergeCell ref="I59:I60"/>
    <mergeCell ref="J59:J60"/>
    <mergeCell ref="A57:B57"/>
    <mergeCell ref="C57:I57"/>
    <mergeCell ref="J57:Q57"/>
    <mergeCell ref="R57:X57"/>
    <mergeCell ref="A58:A60"/>
    <mergeCell ref="B58:B60"/>
    <mergeCell ref="C58:J58"/>
    <mergeCell ref="K58:M59"/>
    <mergeCell ref="N58:P59"/>
    <mergeCell ref="Q58:Q60"/>
    <mergeCell ref="R60:U60"/>
    <mergeCell ref="W52:W55"/>
    <mergeCell ref="X52:X55"/>
    <mergeCell ref="B54:B55"/>
    <mergeCell ref="A56:P56"/>
    <mergeCell ref="Q56:X56"/>
    <mergeCell ref="L52:L55"/>
    <mergeCell ref="M52:M55"/>
    <mergeCell ref="N52:N55"/>
    <mergeCell ref="O52:O55"/>
    <mergeCell ref="P52:P55"/>
    <mergeCell ref="Q52:Q55"/>
    <mergeCell ref="F52:F55"/>
    <mergeCell ref="G52:G55"/>
    <mergeCell ref="H52:H55"/>
    <mergeCell ref="I52:I55"/>
    <mergeCell ref="J52:J55"/>
    <mergeCell ref="K52:K55"/>
    <mergeCell ref="R47:U47"/>
    <mergeCell ref="R48:U48"/>
    <mergeCell ref="R49:U49"/>
    <mergeCell ref="R50:U50"/>
    <mergeCell ref="R51:U51"/>
    <mergeCell ref="A52:A55"/>
    <mergeCell ref="B52:B53"/>
    <mergeCell ref="C52:C55"/>
    <mergeCell ref="D52:D55"/>
    <mergeCell ref="E52:E55"/>
    <mergeCell ref="R52:T55"/>
    <mergeCell ref="U52:V55"/>
    <mergeCell ref="R41:U41"/>
    <mergeCell ref="R42:U42"/>
    <mergeCell ref="R43:U43"/>
    <mergeCell ref="R44:U44"/>
    <mergeCell ref="R45:U45"/>
    <mergeCell ref="R46:U46"/>
    <mergeCell ref="R35:U35"/>
    <mergeCell ref="R36:U36"/>
    <mergeCell ref="R37:U37"/>
    <mergeCell ref="R38:U38"/>
    <mergeCell ref="R39:U39"/>
    <mergeCell ref="R40:U40"/>
    <mergeCell ref="R29:U29"/>
    <mergeCell ref="R30:U30"/>
    <mergeCell ref="R31:U31"/>
    <mergeCell ref="R32:U32"/>
    <mergeCell ref="R33:U33"/>
    <mergeCell ref="R34:U34"/>
    <mergeCell ref="R23:U23"/>
    <mergeCell ref="R24:U24"/>
    <mergeCell ref="R25:U25"/>
    <mergeCell ref="R26:U26"/>
    <mergeCell ref="R27:U27"/>
    <mergeCell ref="R28:U28"/>
    <mergeCell ref="R17:U17"/>
    <mergeCell ref="R18:U18"/>
    <mergeCell ref="R19:U19"/>
    <mergeCell ref="R20:U20"/>
    <mergeCell ref="R21:U21"/>
    <mergeCell ref="R22:U22"/>
    <mergeCell ref="R11:U11"/>
    <mergeCell ref="R12:U12"/>
    <mergeCell ref="R13:U13"/>
    <mergeCell ref="R14:U14"/>
    <mergeCell ref="R15:U15"/>
    <mergeCell ref="R16:U16"/>
    <mergeCell ref="R6:U6"/>
    <mergeCell ref="R7:U7"/>
    <mergeCell ref="R8:U8"/>
    <mergeCell ref="R9:U9"/>
    <mergeCell ref="R10:U10"/>
    <mergeCell ref="R3:V4"/>
    <mergeCell ref="W3:X4"/>
    <mergeCell ref="C4:C5"/>
    <mergeCell ref="D4:D5"/>
    <mergeCell ref="E4:E5"/>
    <mergeCell ref="F4:F5"/>
    <mergeCell ref="G4:G5"/>
    <mergeCell ref="H4:H5"/>
    <mergeCell ref="I4:I5"/>
    <mergeCell ref="J4:J5"/>
    <mergeCell ref="A3:A5"/>
    <mergeCell ref="B3:B5"/>
    <mergeCell ref="C3:J3"/>
    <mergeCell ref="K3:M4"/>
    <mergeCell ref="N3:P4"/>
    <mergeCell ref="Q3:Q5"/>
    <mergeCell ref="A1:P1"/>
    <mergeCell ref="Q1:X1"/>
    <mergeCell ref="A2:B2"/>
    <mergeCell ref="C2:I2"/>
    <mergeCell ref="J2:Q2"/>
    <mergeCell ref="R2:X2"/>
    <mergeCell ref="R5:U5"/>
  </mergeCells>
  <conditionalFormatting sqref="B45">
    <cfRule type="containsText" priority="10" operator="containsText" text="ARZUAGA MENDOZA KAREN TATIANA">
      <formula>NOT(ISERROR(SEARCH("ARZUAGA MENDOZA KAREN TATIANA",B45)))</formula>
    </cfRule>
  </conditionalFormatting>
  <conditionalFormatting sqref="B62">
    <cfRule type="containsText" priority="6" operator="containsText" text="ARZUAGA MENDOZA KAREN TATIANA">
      <formula>NOT(ISERROR(SEARCH("ARZUAGA MENDOZA KAREN TATIANA",B62)))</formula>
    </cfRule>
  </conditionalFormatting>
  <conditionalFormatting sqref="B101">
    <cfRule type="containsText" priority="5" operator="containsText" text="ARZUAGA MENDOZA KAREN TATIANA">
      <formula>NOT(ISERROR(SEARCH("ARZUAGA MENDOZA KAREN TATIANA",B101)))</formula>
    </cfRule>
  </conditionalFormatting>
  <conditionalFormatting sqref="B114:B154">
    <cfRule type="containsText" priority="4" operator="containsText" text="ARZUAGA MENDOZA KAREN TATIANA">
      <formula>NOT(ISERROR(SEARCH("ARZUAGA MENDOZA KAREN TATIANA",B114)))</formula>
    </cfRule>
  </conditionalFormatting>
  <conditionalFormatting sqref="B177">
    <cfRule type="containsText" priority="2" operator="containsText" text="ARZUAGA MENDOZA KAREN TATIANA">
      <formula>NOT(ISERROR(SEARCH("ARZUAGA MENDOZA KAREN TATIANA",B177)))</formula>
    </cfRule>
  </conditionalFormatting>
  <conditionalFormatting sqref="B206:B209">
    <cfRule type="containsText" priority="3" operator="containsText" text="ARZUAGA MENDOZA KAREN TATIANA">
      <formula>NOT(ISERROR(SEARCH("ARZUAGA MENDOZA KAREN TATIANA",B206)))</formula>
    </cfRule>
  </conditionalFormatting>
  <conditionalFormatting sqref="B211">
    <cfRule type="containsText" priority="1" operator="containsText" text="ARZUAGA MENDOZA KAREN TATIANA">
      <formula>NOT(ISERROR(SEARCH("ARZUAGA MENDOZA KAREN TATIANA",B211)))</formula>
    </cfRule>
  </conditionalFormatting>
  <conditionalFormatting sqref="J6:J51 J61:J104">
    <cfRule type="cellIs" dxfId="79" priority="35" operator="lessThan">
      <formula>65</formula>
    </cfRule>
    <cfRule type="cellIs" dxfId="78" priority="36" operator="greaterThan">
      <formula>64</formula>
    </cfRule>
  </conditionalFormatting>
  <conditionalFormatting sqref="J114:J159">
    <cfRule type="cellIs" dxfId="77" priority="25" operator="lessThan">
      <formula>65</formula>
    </cfRule>
    <cfRule type="cellIs" dxfId="76" priority="26" operator="greaterThan">
      <formula>64</formula>
    </cfRule>
  </conditionalFormatting>
  <conditionalFormatting sqref="J172:J217">
    <cfRule type="cellIs" dxfId="75" priority="20" operator="lessThan">
      <formula>65</formula>
    </cfRule>
    <cfRule type="cellIs" dxfId="74" priority="21" operator="greaterThan">
      <formula>64</formula>
    </cfRule>
  </conditionalFormatting>
  <conditionalFormatting sqref="M6:M51 P6:P51 M61:M104 P61:P104">
    <cfRule type="cellIs" dxfId="73" priority="39" operator="between">
      <formula>0</formula>
      <formula>100</formula>
    </cfRule>
  </conditionalFormatting>
  <conditionalFormatting sqref="M114:M159 P114:P159">
    <cfRule type="cellIs" dxfId="72" priority="29" operator="between">
      <formula>0</formula>
      <formula>100</formula>
    </cfRule>
  </conditionalFormatting>
  <conditionalFormatting sqref="M172:M217 P172:P217">
    <cfRule type="cellIs" dxfId="71" priority="24" operator="between">
      <formula>0</formula>
      <formula>100</formula>
    </cfRule>
  </conditionalFormatting>
  <conditionalFormatting sqref="V6:V51 V61:V104">
    <cfRule type="cellIs" dxfId="70" priority="37" operator="between">
      <formula>65</formula>
      <formula>100</formula>
    </cfRule>
    <cfRule type="cellIs" dxfId="69" priority="38" operator="lessThan">
      <formula>65</formula>
    </cfRule>
  </conditionalFormatting>
  <conditionalFormatting sqref="V114:V159">
    <cfRule type="cellIs" dxfId="68" priority="27" operator="between">
      <formula>65</formula>
      <formula>100</formula>
    </cfRule>
    <cfRule type="cellIs" dxfId="67" priority="28" operator="lessThan">
      <formula>65</formula>
    </cfRule>
  </conditionalFormatting>
  <conditionalFormatting sqref="V172:V217">
    <cfRule type="cellIs" dxfId="66" priority="22" operator="between">
      <formula>65</formula>
      <formula>100</formula>
    </cfRule>
    <cfRule type="cellIs" dxfId="65" priority="23" operator="lessThan">
      <formula>65</formula>
    </cfRule>
  </conditionalFormatting>
  <pageMargins left="0.7" right="0.7" top="0.75" bottom="0.75" header="0" footer="0"/>
  <pageSetup paperSize="5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800"/>
  <sheetViews>
    <sheetView showGridLines="0" showRowColHeaders="0" tabSelected="1" showRuler="0" topLeftCell="A61" zoomScale="70" zoomScaleNormal="70" workbookViewId="0">
      <selection activeCell="E117" sqref="E117"/>
    </sheetView>
  </sheetViews>
  <sheetFormatPr baseColWidth="10" defaultColWidth="14.42578125" defaultRowHeight="15" customHeight="1" x14ac:dyDescent="0.25"/>
  <cols>
    <col min="1" max="1" width="3.28515625" style="1" customWidth="1"/>
    <col min="2" max="2" width="39.85546875" style="95" customWidth="1"/>
    <col min="3" max="3" width="4.28515625" style="1" customWidth="1"/>
    <col min="4" max="8" width="4" style="1" customWidth="1"/>
    <col min="9" max="9" width="5" style="1" customWidth="1"/>
    <col min="10" max="10" width="4.28515625" style="1" customWidth="1"/>
    <col min="11" max="11" width="3.7109375" style="1" customWidth="1"/>
    <col min="12" max="12" width="3.5703125" style="1" customWidth="1"/>
    <col min="13" max="13" width="5.140625" style="1" customWidth="1"/>
    <col min="14" max="14" width="4.5703125" style="1" customWidth="1"/>
    <col min="15" max="15" width="3.5703125" style="1" customWidth="1"/>
    <col min="16" max="16" width="5.42578125" style="1" customWidth="1"/>
    <col min="17" max="19" width="3.5703125" style="1" customWidth="1"/>
    <col min="20" max="20" width="4" style="1" customWidth="1"/>
    <col min="21" max="21" width="0.5703125" style="1" customWidth="1"/>
    <col min="22" max="22" width="4.7109375" style="1" customWidth="1"/>
    <col min="23" max="23" width="0.140625" style="1" customWidth="1"/>
    <col min="24" max="24" width="0.5703125" style="1" hidden="1" customWidth="1"/>
    <col min="25" max="27" width="4.140625" style="1" customWidth="1"/>
    <col min="28" max="16384" width="14.42578125" style="1"/>
  </cols>
  <sheetData>
    <row r="1" spans="1:24" ht="87.75" customHeight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2"/>
      <c r="Q1" s="310"/>
      <c r="R1" s="228"/>
      <c r="S1" s="228"/>
      <c r="T1" s="228"/>
      <c r="U1" s="228"/>
      <c r="V1" s="228"/>
      <c r="W1" s="228"/>
      <c r="X1" s="229"/>
    </row>
    <row r="2" spans="1:24" ht="15.75" thickBot="1" x14ac:dyDescent="0.3">
      <c r="A2" s="218" t="s">
        <v>18</v>
      </c>
      <c r="B2" s="219"/>
      <c r="C2" s="220" t="s">
        <v>19</v>
      </c>
      <c r="D2" s="221"/>
      <c r="E2" s="221"/>
      <c r="F2" s="221"/>
      <c r="G2" s="221"/>
      <c r="H2" s="221"/>
      <c r="I2" s="222"/>
      <c r="J2" s="223" t="s">
        <v>20</v>
      </c>
      <c r="K2" s="224"/>
      <c r="L2" s="224"/>
      <c r="M2" s="224"/>
      <c r="N2" s="225"/>
      <c r="O2" s="225"/>
      <c r="P2" s="225"/>
      <c r="Q2" s="226"/>
      <c r="R2" s="227" t="s">
        <v>37</v>
      </c>
      <c r="S2" s="228"/>
      <c r="T2" s="228"/>
      <c r="U2" s="228"/>
      <c r="V2" s="228"/>
      <c r="W2" s="228"/>
      <c r="X2" s="229"/>
    </row>
    <row r="3" spans="1:24" ht="20.25" customHeight="1" x14ac:dyDescent="0.25">
      <c r="A3" s="230" t="s">
        <v>0</v>
      </c>
      <c r="B3" s="293" t="s">
        <v>1</v>
      </c>
      <c r="C3" s="235" t="s">
        <v>12</v>
      </c>
      <c r="D3" s="235"/>
      <c r="E3" s="235"/>
      <c r="F3" s="235"/>
      <c r="G3" s="235"/>
      <c r="H3" s="235"/>
      <c r="I3" s="235"/>
      <c r="J3" s="235"/>
      <c r="K3" s="236" t="s">
        <v>13</v>
      </c>
      <c r="L3" s="237"/>
      <c r="M3" s="237"/>
      <c r="N3" s="240" t="s">
        <v>15</v>
      </c>
      <c r="O3" s="240"/>
      <c r="P3" s="240"/>
      <c r="Q3" s="241" t="s">
        <v>4</v>
      </c>
      <c r="R3" s="244" t="s">
        <v>11</v>
      </c>
      <c r="S3" s="244"/>
      <c r="T3" s="244"/>
      <c r="U3" s="244"/>
      <c r="V3" s="244"/>
      <c r="W3" s="246" t="s">
        <v>2</v>
      </c>
      <c r="X3" s="247"/>
    </row>
    <row r="4" spans="1:24" ht="15" customHeight="1" x14ac:dyDescent="0.25">
      <c r="A4" s="231"/>
      <c r="B4" s="294"/>
      <c r="C4" s="248" t="s">
        <v>6</v>
      </c>
      <c r="D4" s="248" t="s">
        <v>17</v>
      </c>
      <c r="E4" s="248" t="s">
        <v>5</v>
      </c>
      <c r="F4" s="250"/>
      <c r="G4" s="250"/>
      <c r="H4" s="250"/>
      <c r="I4" s="251" t="s">
        <v>16</v>
      </c>
      <c r="J4" s="253" t="s">
        <v>14</v>
      </c>
      <c r="K4" s="238"/>
      <c r="L4" s="239"/>
      <c r="M4" s="239"/>
      <c r="N4" s="240"/>
      <c r="O4" s="240"/>
      <c r="P4" s="240"/>
      <c r="Q4" s="242"/>
      <c r="R4" s="245"/>
      <c r="S4" s="245"/>
      <c r="T4" s="245"/>
      <c r="U4" s="245"/>
      <c r="V4" s="245"/>
      <c r="W4" s="187"/>
      <c r="X4" s="187"/>
    </row>
    <row r="5" spans="1:24" ht="45" customHeight="1" thickBot="1" x14ac:dyDescent="0.3">
      <c r="A5" s="232"/>
      <c r="B5" s="294"/>
      <c r="C5" s="248"/>
      <c r="D5" s="248"/>
      <c r="E5" s="248"/>
      <c r="F5" s="248"/>
      <c r="G5" s="248"/>
      <c r="H5" s="248"/>
      <c r="I5" s="328"/>
      <c r="J5" s="329"/>
      <c r="K5" s="27" t="s">
        <v>9</v>
      </c>
      <c r="L5" s="27" t="s">
        <v>10</v>
      </c>
      <c r="M5" s="55" t="s">
        <v>3</v>
      </c>
      <c r="N5" s="27" t="s">
        <v>9</v>
      </c>
      <c r="O5" s="27" t="s">
        <v>10</v>
      </c>
      <c r="P5" s="56" t="s">
        <v>3</v>
      </c>
      <c r="Q5" s="321"/>
      <c r="R5" s="322" t="s">
        <v>7</v>
      </c>
      <c r="S5" s="323"/>
      <c r="T5" s="323"/>
      <c r="U5" s="324"/>
      <c r="V5" s="23" t="s">
        <v>8</v>
      </c>
      <c r="W5" s="5">
        <v>1</v>
      </c>
      <c r="X5" s="5">
        <v>2</v>
      </c>
    </row>
    <row r="6" spans="1:24" x14ac:dyDescent="0.25">
      <c r="A6" s="38">
        <v>1</v>
      </c>
      <c r="B6" s="69" t="s">
        <v>557</v>
      </c>
      <c r="C6" s="29">
        <v>99</v>
      </c>
      <c r="D6" s="30">
        <v>88</v>
      </c>
      <c r="E6" s="30">
        <v>56</v>
      </c>
      <c r="F6" s="30"/>
      <c r="G6" s="30"/>
      <c r="H6" s="30"/>
      <c r="I6" s="30">
        <v>67</v>
      </c>
      <c r="J6" s="31">
        <f>((AVERAGE(C6:H6))*72%)+I6*8%</f>
        <v>63.68</v>
      </c>
      <c r="K6" s="30">
        <v>84</v>
      </c>
      <c r="L6" s="30">
        <v>84</v>
      </c>
      <c r="M6" s="31">
        <f>(AVERAGE(K6:L6))*10%</f>
        <v>8.4</v>
      </c>
      <c r="N6" s="30">
        <v>82</v>
      </c>
      <c r="O6" s="30">
        <v>82</v>
      </c>
      <c r="P6" s="31">
        <f>(AVERAGE(N6:O6))*10%</f>
        <v>8.2000000000000011</v>
      </c>
      <c r="Q6" s="30"/>
      <c r="R6" s="325" t="str">
        <f>IF(V6&lt;65,"BAJO",IF(V6&lt;=79,"BASICO",IF(V6&lt;=89,"ALTO",IF(V6&lt;=100,"SUPERIOR"))))</f>
        <v>ALTO</v>
      </c>
      <c r="S6" s="326"/>
      <c r="T6" s="326"/>
      <c r="U6" s="337"/>
      <c r="V6" s="51">
        <f>J6+M6+P6</f>
        <v>80.28</v>
      </c>
      <c r="W6" s="10"/>
      <c r="X6" s="10"/>
    </row>
    <row r="7" spans="1:24" x14ac:dyDescent="0.25">
      <c r="A7" s="38">
        <v>2</v>
      </c>
      <c r="B7" s="125" t="s">
        <v>784</v>
      </c>
      <c r="C7" s="26">
        <v>33</v>
      </c>
      <c r="D7" s="8">
        <v>33</v>
      </c>
      <c r="E7" s="8">
        <v>33</v>
      </c>
      <c r="F7" s="8"/>
      <c r="G7" s="8"/>
      <c r="H7" s="8"/>
      <c r="I7" s="9">
        <v>40</v>
      </c>
      <c r="J7" s="15">
        <f t="shared" ref="J7:J51" si="0">((AVERAGE(C7:H7))*72%)+I7*8%</f>
        <v>26.959999999999997</v>
      </c>
      <c r="K7" s="8">
        <v>65</v>
      </c>
      <c r="L7" s="8">
        <v>65</v>
      </c>
      <c r="M7" s="15">
        <f t="shared" ref="M7:M51" si="1">(AVERAGE(K7:L7))*10%</f>
        <v>6.5</v>
      </c>
      <c r="N7" s="8">
        <v>65</v>
      </c>
      <c r="O7" s="8">
        <v>65</v>
      </c>
      <c r="P7" s="15">
        <f t="shared" ref="P7:P51" si="2">(AVERAGE(N7:O7))*10%</f>
        <v>6.5</v>
      </c>
      <c r="Q7" s="11"/>
      <c r="R7" s="201" t="str">
        <f t="shared" ref="R7:R51" si="3">IF(V7&lt;65,"BAJO",IF(V7&lt;=79,"BASICO",IF(V7&lt;=89,"ALTO",IF(V7&lt;=100,"SUPERIOR"))))</f>
        <v>BAJO</v>
      </c>
      <c r="S7" s="202"/>
      <c r="T7" s="202"/>
      <c r="U7" s="338"/>
      <c r="V7" s="51">
        <f t="shared" ref="V7:V51" si="4">J7+M7+P7</f>
        <v>39.959999999999994</v>
      </c>
      <c r="W7" s="10"/>
      <c r="X7" s="10"/>
    </row>
    <row r="8" spans="1:24" x14ac:dyDescent="0.25">
      <c r="A8" s="38">
        <v>3</v>
      </c>
      <c r="B8" s="70" t="s">
        <v>391</v>
      </c>
      <c r="C8" s="26">
        <v>72</v>
      </c>
      <c r="D8" s="8">
        <v>51</v>
      </c>
      <c r="E8" s="8">
        <v>95</v>
      </c>
      <c r="F8" s="8"/>
      <c r="G8" s="8"/>
      <c r="H8" s="8"/>
      <c r="I8" s="9">
        <v>80</v>
      </c>
      <c r="J8" s="15">
        <f t="shared" si="0"/>
        <v>58.72</v>
      </c>
      <c r="K8" s="8">
        <v>100</v>
      </c>
      <c r="L8" s="8">
        <v>100</v>
      </c>
      <c r="M8" s="15">
        <f t="shared" si="1"/>
        <v>10</v>
      </c>
      <c r="N8" s="8">
        <v>91</v>
      </c>
      <c r="O8" s="8">
        <v>91</v>
      </c>
      <c r="P8" s="15">
        <f t="shared" si="2"/>
        <v>9.1</v>
      </c>
      <c r="Q8" s="11"/>
      <c r="R8" s="201" t="str">
        <f t="shared" si="3"/>
        <v>BASICO</v>
      </c>
      <c r="S8" s="202"/>
      <c r="T8" s="202"/>
      <c r="U8" s="338"/>
      <c r="V8" s="51">
        <f t="shared" si="4"/>
        <v>77.819999999999993</v>
      </c>
      <c r="W8" s="10"/>
      <c r="X8" s="10"/>
    </row>
    <row r="9" spans="1:24" x14ac:dyDescent="0.25">
      <c r="A9" s="38">
        <v>4</v>
      </c>
      <c r="B9" s="124" t="s">
        <v>320</v>
      </c>
      <c r="C9" s="26">
        <v>24</v>
      </c>
      <c r="D9" s="8">
        <v>20</v>
      </c>
      <c r="E9" s="8">
        <v>54</v>
      </c>
      <c r="F9" s="8"/>
      <c r="G9" s="8"/>
      <c r="H9" s="8"/>
      <c r="I9" s="8">
        <v>40</v>
      </c>
      <c r="J9" s="15">
        <f t="shared" si="0"/>
        <v>26.719999999999995</v>
      </c>
      <c r="K9" s="8">
        <v>67</v>
      </c>
      <c r="L9" s="8">
        <v>67</v>
      </c>
      <c r="M9" s="15">
        <f t="shared" si="1"/>
        <v>6.7</v>
      </c>
      <c r="N9" s="8">
        <v>65</v>
      </c>
      <c r="O9" s="8">
        <v>65</v>
      </c>
      <c r="P9" s="15">
        <f t="shared" si="2"/>
        <v>6.5</v>
      </c>
      <c r="Q9" s="11"/>
      <c r="R9" s="201" t="str">
        <f t="shared" si="3"/>
        <v>BAJO</v>
      </c>
      <c r="S9" s="202"/>
      <c r="T9" s="202"/>
      <c r="U9" s="338"/>
      <c r="V9" s="51">
        <f t="shared" si="4"/>
        <v>39.919999999999995</v>
      </c>
      <c r="W9" s="10"/>
      <c r="X9" s="10"/>
    </row>
    <row r="10" spans="1:24" x14ac:dyDescent="0.25">
      <c r="A10" s="38">
        <v>5</v>
      </c>
      <c r="B10" s="67" t="s">
        <v>365</v>
      </c>
      <c r="C10" s="26">
        <v>87</v>
      </c>
      <c r="D10" s="8">
        <v>93</v>
      </c>
      <c r="E10" s="8">
        <v>94</v>
      </c>
      <c r="F10" s="8"/>
      <c r="G10" s="8"/>
      <c r="H10" s="8"/>
      <c r="I10" s="8">
        <v>60</v>
      </c>
      <c r="J10" s="15">
        <f t="shared" si="0"/>
        <v>70.559999999999988</v>
      </c>
      <c r="K10" s="8">
        <v>100</v>
      </c>
      <c r="L10" s="8">
        <v>100</v>
      </c>
      <c r="M10" s="15">
        <f t="shared" si="1"/>
        <v>10</v>
      </c>
      <c r="N10" s="8">
        <v>96</v>
      </c>
      <c r="O10" s="8">
        <v>96</v>
      </c>
      <c r="P10" s="15">
        <f t="shared" si="2"/>
        <v>9.6000000000000014</v>
      </c>
      <c r="Q10" s="10"/>
      <c r="R10" s="201" t="str">
        <f t="shared" si="3"/>
        <v>SUPERIOR</v>
      </c>
      <c r="S10" s="202"/>
      <c r="T10" s="202"/>
      <c r="U10" s="338"/>
      <c r="V10" s="51">
        <f t="shared" si="4"/>
        <v>90.16</v>
      </c>
      <c r="W10" s="10"/>
      <c r="X10" s="10"/>
    </row>
    <row r="11" spans="1:24" x14ac:dyDescent="0.25">
      <c r="A11" s="38">
        <v>6</v>
      </c>
      <c r="B11" s="67" t="s">
        <v>366</v>
      </c>
      <c r="C11" s="26">
        <v>59</v>
      </c>
      <c r="D11" s="8">
        <v>67</v>
      </c>
      <c r="E11" s="8">
        <v>43</v>
      </c>
      <c r="F11" s="8"/>
      <c r="G11" s="8"/>
      <c r="H11" s="8"/>
      <c r="I11" s="8">
        <v>67</v>
      </c>
      <c r="J11" s="15">
        <f t="shared" si="0"/>
        <v>45.92</v>
      </c>
      <c r="K11" s="8">
        <v>91</v>
      </c>
      <c r="L11" s="8">
        <v>91</v>
      </c>
      <c r="M11" s="15">
        <f t="shared" si="1"/>
        <v>9.1</v>
      </c>
      <c r="N11" s="8">
        <v>82</v>
      </c>
      <c r="O11" s="8">
        <v>82</v>
      </c>
      <c r="P11" s="15">
        <f t="shared" si="2"/>
        <v>8.2000000000000011</v>
      </c>
      <c r="Q11" s="10"/>
      <c r="R11" s="201" t="str">
        <f t="shared" si="3"/>
        <v>BAJO</v>
      </c>
      <c r="S11" s="202"/>
      <c r="T11" s="202"/>
      <c r="U11" s="338"/>
      <c r="V11" s="51">
        <f t="shared" si="4"/>
        <v>63.220000000000006</v>
      </c>
      <c r="W11" s="10"/>
      <c r="X11" s="10"/>
    </row>
    <row r="12" spans="1:24" x14ac:dyDescent="0.25">
      <c r="A12" s="38">
        <v>7</v>
      </c>
      <c r="B12" s="67" t="s">
        <v>394</v>
      </c>
      <c r="C12" s="26">
        <v>36</v>
      </c>
      <c r="D12" s="8">
        <v>100</v>
      </c>
      <c r="E12" s="8">
        <v>88</v>
      </c>
      <c r="F12" s="8"/>
      <c r="G12" s="8"/>
      <c r="H12" s="8"/>
      <c r="I12" s="8">
        <v>40</v>
      </c>
      <c r="J12" s="15">
        <f t="shared" si="0"/>
        <v>56.96</v>
      </c>
      <c r="K12" s="8">
        <v>80</v>
      </c>
      <c r="L12" s="8">
        <v>80</v>
      </c>
      <c r="M12" s="15">
        <f t="shared" si="1"/>
        <v>8</v>
      </c>
      <c r="N12" s="8">
        <v>69</v>
      </c>
      <c r="O12" s="8">
        <v>69</v>
      </c>
      <c r="P12" s="15">
        <f t="shared" si="2"/>
        <v>6.9</v>
      </c>
      <c r="Q12" s="10"/>
      <c r="R12" s="201" t="str">
        <f t="shared" si="3"/>
        <v>BASICO</v>
      </c>
      <c r="S12" s="202"/>
      <c r="T12" s="202"/>
      <c r="U12" s="338"/>
      <c r="V12" s="51">
        <f t="shared" si="4"/>
        <v>71.860000000000014</v>
      </c>
      <c r="W12" s="10"/>
      <c r="X12" s="10"/>
    </row>
    <row r="13" spans="1:24" x14ac:dyDescent="0.25">
      <c r="A13" s="38">
        <v>8</v>
      </c>
      <c r="B13" s="67" t="s">
        <v>754</v>
      </c>
      <c r="C13" s="26">
        <v>27</v>
      </c>
      <c r="D13" s="8">
        <v>56</v>
      </c>
      <c r="E13" s="8">
        <v>36</v>
      </c>
      <c r="F13" s="8"/>
      <c r="G13" s="8"/>
      <c r="H13" s="8"/>
      <c r="I13" s="8">
        <v>40</v>
      </c>
      <c r="J13" s="15">
        <f t="shared" si="0"/>
        <v>31.759999999999998</v>
      </c>
      <c r="K13" s="8">
        <v>98</v>
      </c>
      <c r="L13" s="8">
        <v>98</v>
      </c>
      <c r="M13" s="15">
        <f t="shared" si="1"/>
        <v>9.8000000000000007</v>
      </c>
      <c r="N13" s="8">
        <v>85</v>
      </c>
      <c r="O13" s="8">
        <v>85</v>
      </c>
      <c r="P13" s="15">
        <f t="shared" si="2"/>
        <v>8.5</v>
      </c>
      <c r="Q13" s="10"/>
      <c r="R13" s="201" t="str">
        <f t="shared" si="3"/>
        <v>BAJO</v>
      </c>
      <c r="S13" s="202"/>
      <c r="T13" s="202"/>
      <c r="U13" s="338"/>
      <c r="V13" s="51">
        <f t="shared" si="4"/>
        <v>50.06</v>
      </c>
      <c r="W13" s="10"/>
      <c r="X13" s="10"/>
    </row>
    <row r="14" spans="1:24" x14ac:dyDescent="0.25">
      <c r="A14" s="38">
        <v>9</v>
      </c>
      <c r="B14" s="67" t="s">
        <v>367</v>
      </c>
      <c r="C14" s="26">
        <v>73</v>
      </c>
      <c r="D14" s="8">
        <v>80</v>
      </c>
      <c r="E14" s="8">
        <v>86</v>
      </c>
      <c r="F14" s="8"/>
      <c r="G14" s="8"/>
      <c r="H14" s="8"/>
      <c r="I14" s="8">
        <v>60</v>
      </c>
      <c r="J14" s="15">
        <f t="shared" si="0"/>
        <v>62.16</v>
      </c>
      <c r="K14" s="8">
        <v>88</v>
      </c>
      <c r="L14" s="8">
        <v>88</v>
      </c>
      <c r="M14" s="15">
        <f t="shared" si="1"/>
        <v>8.8000000000000007</v>
      </c>
      <c r="N14" s="8">
        <v>88</v>
      </c>
      <c r="O14" s="8">
        <v>88</v>
      </c>
      <c r="P14" s="15">
        <f t="shared" si="2"/>
        <v>8.8000000000000007</v>
      </c>
      <c r="Q14" s="10"/>
      <c r="R14" s="201" t="str">
        <f t="shared" si="3"/>
        <v>ALTO</v>
      </c>
      <c r="S14" s="202"/>
      <c r="T14" s="202"/>
      <c r="U14" s="338"/>
      <c r="V14" s="51">
        <f t="shared" si="4"/>
        <v>79.759999999999991</v>
      </c>
      <c r="W14" s="10"/>
      <c r="X14" s="10"/>
    </row>
    <row r="15" spans="1:24" x14ac:dyDescent="0.25">
      <c r="A15" s="38">
        <v>10</v>
      </c>
      <c r="B15" s="67" t="s">
        <v>368</v>
      </c>
      <c r="C15" s="26">
        <v>48</v>
      </c>
      <c r="D15" s="8">
        <v>80</v>
      </c>
      <c r="E15" s="8">
        <v>42</v>
      </c>
      <c r="F15" s="8"/>
      <c r="G15" s="8"/>
      <c r="H15" s="8"/>
      <c r="I15" s="8">
        <v>40</v>
      </c>
      <c r="J15" s="15">
        <f t="shared" si="0"/>
        <v>44</v>
      </c>
      <c r="K15" s="8">
        <v>94</v>
      </c>
      <c r="L15" s="8">
        <v>94</v>
      </c>
      <c r="M15" s="15">
        <f t="shared" si="1"/>
        <v>9.4</v>
      </c>
      <c r="N15" s="8">
        <v>95</v>
      </c>
      <c r="O15" s="8">
        <v>95</v>
      </c>
      <c r="P15" s="15">
        <f t="shared" si="2"/>
        <v>9.5</v>
      </c>
      <c r="Q15" s="10"/>
      <c r="R15" s="201" t="str">
        <f t="shared" si="3"/>
        <v>BAJO</v>
      </c>
      <c r="S15" s="202"/>
      <c r="T15" s="202"/>
      <c r="U15" s="338"/>
      <c r="V15" s="51">
        <f t="shared" si="4"/>
        <v>62.9</v>
      </c>
      <c r="W15" s="10"/>
      <c r="X15" s="10"/>
    </row>
    <row r="16" spans="1:24" x14ac:dyDescent="0.25">
      <c r="A16" s="38">
        <v>11</v>
      </c>
      <c r="B16" s="67" t="s">
        <v>369</v>
      </c>
      <c r="C16" s="26">
        <v>85</v>
      </c>
      <c r="D16" s="8">
        <v>58</v>
      </c>
      <c r="E16" s="8">
        <v>25</v>
      </c>
      <c r="F16" s="8"/>
      <c r="G16" s="8"/>
      <c r="H16" s="8"/>
      <c r="I16" s="8">
        <v>40</v>
      </c>
      <c r="J16" s="15">
        <f t="shared" si="0"/>
        <v>43.52</v>
      </c>
      <c r="K16" s="8">
        <v>92</v>
      </c>
      <c r="L16" s="8">
        <v>92</v>
      </c>
      <c r="M16" s="15">
        <f t="shared" si="1"/>
        <v>9.2000000000000011</v>
      </c>
      <c r="N16" s="8">
        <v>93</v>
      </c>
      <c r="O16" s="8">
        <v>93</v>
      </c>
      <c r="P16" s="15">
        <f t="shared" si="2"/>
        <v>9.3000000000000007</v>
      </c>
      <c r="Q16" s="10"/>
      <c r="R16" s="201" t="str">
        <f t="shared" si="3"/>
        <v>BAJO</v>
      </c>
      <c r="S16" s="202"/>
      <c r="T16" s="202"/>
      <c r="U16" s="338"/>
      <c r="V16" s="51">
        <f t="shared" si="4"/>
        <v>62.02000000000001</v>
      </c>
      <c r="W16" s="10"/>
      <c r="X16" s="10"/>
    </row>
    <row r="17" spans="1:24" x14ac:dyDescent="0.25">
      <c r="A17" s="38">
        <v>12</v>
      </c>
      <c r="B17" s="67" t="s">
        <v>370</v>
      </c>
      <c r="C17" s="26">
        <v>100</v>
      </c>
      <c r="D17" s="8">
        <v>100</v>
      </c>
      <c r="E17" s="8">
        <v>100</v>
      </c>
      <c r="F17" s="8"/>
      <c r="G17" s="8"/>
      <c r="H17" s="8"/>
      <c r="I17" s="8">
        <v>60</v>
      </c>
      <c r="J17" s="15">
        <f t="shared" si="0"/>
        <v>76.8</v>
      </c>
      <c r="K17" s="8">
        <v>65</v>
      </c>
      <c r="L17" s="8">
        <v>65</v>
      </c>
      <c r="M17" s="15">
        <f t="shared" si="1"/>
        <v>6.5</v>
      </c>
      <c r="N17" s="8">
        <v>65</v>
      </c>
      <c r="O17" s="8">
        <v>65</v>
      </c>
      <c r="P17" s="15">
        <f t="shared" si="2"/>
        <v>6.5</v>
      </c>
      <c r="Q17" s="10"/>
      <c r="R17" s="201" t="str">
        <f t="shared" si="3"/>
        <v>SUPERIOR</v>
      </c>
      <c r="S17" s="202"/>
      <c r="T17" s="202"/>
      <c r="U17" s="338"/>
      <c r="V17" s="51">
        <f t="shared" si="4"/>
        <v>89.8</v>
      </c>
      <c r="W17" s="10"/>
      <c r="X17" s="10"/>
    </row>
    <row r="18" spans="1:24" x14ac:dyDescent="0.25">
      <c r="A18" s="38">
        <v>13</v>
      </c>
      <c r="B18" s="67" t="s">
        <v>371</v>
      </c>
      <c r="C18" s="26">
        <v>94</v>
      </c>
      <c r="D18" s="8">
        <v>75</v>
      </c>
      <c r="E18" s="8">
        <v>82</v>
      </c>
      <c r="F18" s="8"/>
      <c r="G18" s="8"/>
      <c r="H18" s="8"/>
      <c r="I18" s="8">
        <v>40</v>
      </c>
      <c r="J18" s="15">
        <f t="shared" si="0"/>
        <v>63.440000000000005</v>
      </c>
      <c r="K18" s="8">
        <v>84</v>
      </c>
      <c r="L18" s="8">
        <v>84</v>
      </c>
      <c r="M18" s="15">
        <f t="shared" si="1"/>
        <v>8.4</v>
      </c>
      <c r="N18" s="8">
        <v>80</v>
      </c>
      <c r="O18" s="8">
        <v>80</v>
      </c>
      <c r="P18" s="15">
        <f t="shared" si="2"/>
        <v>8</v>
      </c>
      <c r="Q18" s="10"/>
      <c r="R18" s="201" t="str">
        <f t="shared" si="3"/>
        <v>ALTO</v>
      </c>
      <c r="S18" s="202"/>
      <c r="T18" s="202"/>
      <c r="U18" s="338"/>
      <c r="V18" s="51">
        <f t="shared" si="4"/>
        <v>79.84</v>
      </c>
      <c r="W18" s="10"/>
      <c r="X18" s="10"/>
    </row>
    <row r="19" spans="1:24" x14ac:dyDescent="0.25">
      <c r="A19" s="38">
        <v>14</v>
      </c>
      <c r="B19" s="67" t="s">
        <v>372</v>
      </c>
      <c r="C19" s="26">
        <v>100</v>
      </c>
      <c r="D19" s="8">
        <v>100</v>
      </c>
      <c r="E19" s="8">
        <v>100</v>
      </c>
      <c r="F19" s="8"/>
      <c r="G19" s="8"/>
      <c r="H19" s="8"/>
      <c r="I19" s="8">
        <v>85</v>
      </c>
      <c r="J19" s="15">
        <f t="shared" si="0"/>
        <v>78.8</v>
      </c>
      <c r="K19" s="8">
        <v>65</v>
      </c>
      <c r="L19" s="8">
        <v>65</v>
      </c>
      <c r="M19" s="15">
        <f t="shared" si="1"/>
        <v>6.5</v>
      </c>
      <c r="N19" s="8">
        <v>65</v>
      </c>
      <c r="O19" s="8">
        <v>65</v>
      </c>
      <c r="P19" s="15">
        <f t="shared" si="2"/>
        <v>6.5</v>
      </c>
      <c r="Q19" s="10"/>
      <c r="R19" s="201" t="str">
        <f t="shared" si="3"/>
        <v>SUPERIOR</v>
      </c>
      <c r="S19" s="202"/>
      <c r="T19" s="202"/>
      <c r="U19" s="338"/>
      <c r="V19" s="51">
        <f t="shared" si="4"/>
        <v>91.8</v>
      </c>
      <c r="W19" s="10"/>
      <c r="X19" s="10"/>
    </row>
    <row r="20" spans="1:24" x14ac:dyDescent="0.25">
      <c r="A20" s="38">
        <v>15</v>
      </c>
      <c r="B20" s="164" t="s">
        <v>373</v>
      </c>
      <c r="C20" s="26">
        <v>27</v>
      </c>
      <c r="D20" s="8">
        <v>67</v>
      </c>
      <c r="E20" s="8">
        <v>78</v>
      </c>
      <c r="F20" s="8"/>
      <c r="G20" s="8"/>
      <c r="H20" s="8"/>
      <c r="I20" s="8">
        <v>40</v>
      </c>
      <c r="J20" s="15">
        <f t="shared" si="0"/>
        <v>44.480000000000004</v>
      </c>
      <c r="K20" s="8">
        <v>94</v>
      </c>
      <c r="L20" s="8">
        <v>94</v>
      </c>
      <c r="M20" s="15">
        <f t="shared" si="1"/>
        <v>9.4</v>
      </c>
      <c r="N20" s="8">
        <v>80</v>
      </c>
      <c r="O20" s="8">
        <v>80</v>
      </c>
      <c r="P20" s="15">
        <f t="shared" si="2"/>
        <v>8</v>
      </c>
      <c r="Q20" s="10"/>
      <c r="R20" s="201" t="str">
        <f t="shared" si="3"/>
        <v>BAJO</v>
      </c>
      <c r="S20" s="202"/>
      <c r="T20" s="202"/>
      <c r="U20" s="338"/>
      <c r="V20" s="51">
        <f t="shared" si="4"/>
        <v>61.88</v>
      </c>
      <c r="W20" s="10"/>
      <c r="X20" s="10"/>
    </row>
    <row r="21" spans="1:24" ht="15.75" customHeight="1" x14ac:dyDescent="0.25">
      <c r="A21" s="38">
        <v>16</v>
      </c>
      <c r="B21" s="164" t="s">
        <v>374</v>
      </c>
      <c r="C21" s="26">
        <v>99</v>
      </c>
      <c r="D21" s="8">
        <v>65</v>
      </c>
      <c r="E21" s="8">
        <v>76</v>
      </c>
      <c r="F21" s="8"/>
      <c r="G21" s="8"/>
      <c r="H21" s="8"/>
      <c r="I21" s="8">
        <v>67</v>
      </c>
      <c r="J21" s="15">
        <f t="shared" si="0"/>
        <v>62.959999999999994</v>
      </c>
      <c r="K21" s="8">
        <v>90</v>
      </c>
      <c r="L21" s="8">
        <v>90</v>
      </c>
      <c r="M21" s="15">
        <f t="shared" si="1"/>
        <v>9</v>
      </c>
      <c r="N21" s="8">
        <v>76</v>
      </c>
      <c r="O21" s="8">
        <v>76</v>
      </c>
      <c r="P21" s="15">
        <f t="shared" si="2"/>
        <v>7.6000000000000005</v>
      </c>
      <c r="Q21" s="10"/>
      <c r="R21" s="201" t="str">
        <f t="shared" si="3"/>
        <v>ALTO</v>
      </c>
      <c r="S21" s="202"/>
      <c r="T21" s="202"/>
      <c r="U21" s="338"/>
      <c r="V21" s="51">
        <f t="shared" si="4"/>
        <v>79.559999999999988</v>
      </c>
      <c r="W21" s="10"/>
      <c r="X21" s="10"/>
    </row>
    <row r="22" spans="1:24" ht="15.75" customHeight="1" x14ac:dyDescent="0.25">
      <c r="A22" s="38">
        <v>17</v>
      </c>
      <c r="B22" s="164" t="s">
        <v>755</v>
      </c>
      <c r="C22" s="26">
        <v>99</v>
      </c>
      <c r="D22" s="8">
        <v>67</v>
      </c>
      <c r="E22" s="8">
        <v>98</v>
      </c>
      <c r="F22" s="8"/>
      <c r="G22" s="8"/>
      <c r="H22" s="8"/>
      <c r="I22" s="13">
        <v>40</v>
      </c>
      <c r="J22" s="15">
        <f t="shared" si="0"/>
        <v>66.56</v>
      </c>
      <c r="K22" s="8">
        <v>92</v>
      </c>
      <c r="L22" s="8">
        <v>92</v>
      </c>
      <c r="M22" s="15">
        <f t="shared" si="1"/>
        <v>9.2000000000000011</v>
      </c>
      <c r="N22" s="8">
        <v>93</v>
      </c>
      <c r="O22" s="8">
        <v>93</v>
      </c>
      <c r="P22" s="15">
        <f t="shared" si="2"/>
        <v>9.3000000000000007</v>
      </c>
      <c r="Q22" s="10"/>
      <c r="R22" s="201" t="str">
        <f t="shared" si="3"/>
        <v>ALTO</v>
      </c>
      <c r="S22" s="202"/>
      <c r="T22" s="202"/>
      <c r="U22" s="338"/>
      <c r="V22" s="51">
        <f t="shared" si="4"/>
        <v>85.06</v>
      </c>
      <c r="W22" s="10"/>
      <c r="X22" s="10"/>
    </row>
    <row r="23" spans="1:24" ht="15.75" customHeight="1" x14ac:dyDescent="0.25">
      <c r="A23" s="38">
        <v>18</v>
      </c>
      <c r="B23" s="164" t="s">
        <v>756</v>
      </c>
      <c r="C23" s="26">
        <v>97</v>
      </c>
      <c r="D23" s="8">
        <v>100</v>
      </c>
      <c r="E23" s="8">
        <v>36</v>
      </c>
      <c r="F23" s="8"/>
      <c r="G23" s="8"/>
      <c r="H23" s="8"/>
      <c r="I23" s="8">
        <v>55</v>
      </c>
      <c r="J23" s="15">
        <f t="shared" si="0"/>
        <v>60.32</v>
      </c>
      <c r="K23" s="8">
        <v>85</v>
      </c>
      <c r="L23" s="8">
        <v>85</v>
      </c>
      <c r="M23" s="15">
        <f t="shared" si="1"/>
        <v>8.5</v>
      </c>
      <c r="N23" s="8">
        <v>94</v>
      </c>
      <c r="O23" s="8">
        <v>94</v>
      </c>
      <c r="P23" s="15">
        <f t="shared" si="2"/>
        <v>9.4</v>
      </c>
      <c r="Q23" s="10"/>
      <c r="R23" s="201" t="str">
        <f t="shared" si="3"/>
        <v>BASICO</v>
      </c>
      <c r="S23" s="202"/>
      <c r="T23" s="202"/>
      <c r="U23" s="338"/>
      <c r="V23" s="51">
        <f t="shared" si="4"/>
        <v>78.22</v>
      </c>
      <c r="W23" s="10"/>
      <c r="X23" s="10"/>
    </row>
    <row r="24" spans="1:24" ht="15.75" customHeight="1" x14ac:dyDescent="0.25">
      <c r="A24" s="38">
        <v>19</v>
      </c>
      <c r="B24" s="67" t="s">
        <v>399</v>
      </c>
      <c r="C24" s="26">
        <v>100</v>
      </c>
      <c r="D24" s="8">
        <v>100</v>
      </c>
      <c r="E24" s="8">
        <v>100</v>
      </c>
      <c r="F24" s="8"/>
      <c r="G24" s="8"/>
      <c r="H24" s="8"/>
      <c r="I24" s="8">
        <v>55</v>
      </c>
      <c r="J24" s="15">
        <f t="shared" si="0"/>
        <v>76.400000000000006</v>
      </c>
      <c r="K24" s="8">
        <v>65</v>
      </c>
      <c r="L24" s="8">
        <v>65</v>
      </c>
      <c r="M24" s="15">
        <f t="shared" si="1"/>
        <v>6.5</v>
      </c>
      <c r="N24" s="8">
        <v>65</v>
      </c>
      <c r="O24" s="8">
        <v>65</v>
      </c>
      <c r="P24" s="15">
        <f t="shared" si="2"/>
        <v>6.5</v>
      </c>
      <c r="Q24" s="10"/>
      <c r="R24" s="201" t="str">
        <f t="shared" si="3"/>
        <v>SUPERIOR</v>
      </c>
      <c r="S24" s="202"/>
      <c r="T24" s="202"/>
      <c r="U24" s="338"/>
      <c r="V24" s="51">
        <f t="shared" si="4"/>
        <v>89.4</v>
      </c>
      <c r="W24" s="10"/>
      <c r="X24" s="10"/>
    </row>
    <row r="25" spans="1:24" ht="15.75" customHeight="1" x14ac:dyDescent="0.25">
      <c r="A25" s="38">
        <v>20</v>
      </c>
      <c r="B25" s="67" t="s">
        <v>376</v>
      </c>
      <c r="C25" s="26">
        <v>100</v>
      </c>
      <c r="D25" s="8">
        <v>100</v>
      </c>
      <c r="E25" s="8">
        <v>100</v>
      </c>
      <c r="F25" s="8"/>
      <c r="G25" s="8"/>
      <c r="H25" s="8"/>
      <c r="I25" s="8">
        <v>40</v>
      </c>
      <c r="J25" s="15">
        <f t="shared" si="0"/>
        <v>75.2</v>
      </c>
      <c r="K25" s="8">
        <v>65</v>
      </c>
      <c r="L25" s="8">
        <v>65</v>
      </c>
      <c r="M25" s="15">
        <f t="shared" si="1"/>
        <v>6.5</v>
      </c>
      <c r="N25" s="8">
        <v>65</v>
      </c>
      <c r="O25" s="8">
        <v>65</v>
      </c>
      <c r="P25" s="15">
        <f t="shared" si="2"/>
        <v>6.5</v>
      </c>
      <c r="Q25" s="10"/>
      <c r="R25" s="201" t="str">
        <f t="shared" si="3"/>
        <v>ALTO</v>
      </c>
      <c r="S25" s="202"/>
      <c r="T25" s="202"/>
      <c r="U25" s="338"/>
      <c r="V25" s="51">
        <f t="shared" si="4"/>
        <v>88.2</v>
      </c>
      <c r="W25" s="10"/>
      <c r="X25" s="10"/>
    </row>
    <row r="26" spans="1:24" ht="15.75" customHeight="1" x14ac:dyDescent="0.25">
      <c r="A26" s="38">
        <v>21</v>
      </c>
      <c r="B26" s="67" t="s">
        <v>377</v>
      </c>
      <c r="C26" s="26">
        <v>85</v>
      </c>
      <c r="D26" s="8">
        <v>50</v>
      </c>
      <c r="E26" s="8">
        <v>28</v>
      </c>
      <c r="F26" s="8"/>
      <c r="G26" s="8"/>
      <c r="H26" s="8"/>
      <c r="I26" s="8">
        <v>40</v>
      </c>
      <c r="J26" s="15">
        <f t="shared" si="0"/>
        <v>42.32</v>
      </c>
      <c r="K26" s="8">
        <v>91</v>
      </c>
      <c r="L26" s="8">
        <v>91</v>
      </c>
      <c r="M26" s="15">
        <f t="shared" si="1"/>
        <v>9.1</v>
      </c>
      <c r="N26" s="8">
        <v>83</v>
      </c>
      <c r="O26" s="8">
        <v>83</v>
      </c>
      <c r="P26" s="15">
        <f t="shared" si="2"/>
        <v>8.3000000000000007</v>
      </c>
      <c r="Q26" s="10"/>
      <c r="R26" s="201" t="str">
        <f t="shared" si="3"/>
        <v>BAJO</v>
      </c>
      <c r="S26" s="202"/>
      <c r="T26" s="202"/>
      <c r="U26" s="338"/>
      <c r="V26" s="51">
        <f t="shared" si="4"/>
        <v>59.72</v>
      </c>
      <c r="W26" s="10"/>
      <c r="X26" s="10"/>
    </row>
    <row r="27" spans="1:24" ht="15.75" customHeight="1" x14ac:dyDescent="0.25">
      <c r="A27" s="38">
        <v>22</v>
      </c>
      <c r="B27" s="67" t="s">
        <v>379</v>
      </c>
      <c r="C27" s="26">
        <v>100</v>
      </c>
      <c r="D27" s="8">
        <v>100</v>
      </c>
      <c r="E27" s="8">
        <v>100</v>
      </c>
      <c r="F27" s="8"/>
      <c r="G27" s="8"/>
      <c r="H27" s="8"/>
      <c r="I27" s="8">
        <v>92</v>
      </c>
      <c r="J27" s="15">
        <f t="shared" si="0"/>
        <v>79.36</v>
      </c>
      <c r="K27" s="8">
        <v>65</v>
      </c>
      <c r="L27" s="8">
        <v>65</v>
      </c>
      <c r="M27" s="15">
        <f t="shared" si="1"/>
        <v>6.5</v>
      </c>
      <c r="N27" s="8">
        <v>65</v>
      </c>
      <c r="O27" s="8">
        <v>65</v>
      </c>
      <c r="P27" s="15">
        <f t="shared" si="2"/>
        <v>6.5</v>
      </c>
      <c r="Q27" s="10"/>
      <c r="R27" s="201" t="str">
        <f t="shared" si="3"/>
        <v>SUPERIOR</v>
      </c>
      <c r="S27" s="202"/>
      <c r="T27" s="202"/>
      <c r="U27" s="338"/>
      <c r="V27" s="51">
        <f t="shared" si="4"/>
        <v>92.36</v>
      </c>
      <c r="W27" s="10"/>
      <c r="X27" s="10"/>
    </row>
    <row r="28" spans="1:24" ht="15.75" customHeight="1" x14ac:dyDescent="0.25">
      <c r="A28" s="38">
        <v>23</v>
      </c>
      <c r="B28" s="67" t="s">
        <v>550</v>
      </c>
      <c r="C28" s="26">
        <v>100</v>
      </c>
      <c r="D28" s="8">
        <v>100</v>
      </c>
      <c r="E28" s="8">
        <v>100</v>
      </c>
      <c r="F28" s="8"/>
      <c r="G28" s="8"/>
      <c r="H28" s="8"/>
      <c r="I28" s="8">
        <v>40</v>
      </c>
      <c r="J28" s="15">
        <f t="shared" si="0"/>
        <v>75.2</v>
      </c>
      <c r="K28" s="8">
        <v>65</v>
      </c>
      <c r="L28" s="8">
        <v>65</v>
      </c>
      <c r="M28" s="15">
        <f t="shared" si="1"/>
        <v>6.5</v>
      </c>
      <c r="N28" s="8">
        <v>65</v>
      </c>
      <c r="O28" s="8">
        <v>65</v>
      </c>
      <c r="P28" s="15">
        <f t="shared" si="2"/>
        <v>6.5</v>
      </c>
      <c r="Q28" s="10"/>
      <c r="R28" s="201" t="str">
        <f t="shared" si="3"/>
        <v>ALTO</v>
      </c>
      <c r="S28" s="202"/>
      <c r="T28" s="202"/>
      <c r="U28" s="338"/>
      <c r="V28" s="51">
        <f t="shared" si="4"/>
        <v>88.2</v>
      </c>
      <c r="W28" s="10"/>
      <c r="X28" s="10"/>
    </row>
    <row r="29" spans="1:24" ht="15.75" customHeight="1" x14ac:dyDescent="0.25">
      <c r="A29" s="38">
        <v>24</v>
      </c>
      <c r="B29" s="67" t="s">
        <v>401</v>
      </c>
      <c r="C29" s="26">
        <v>95</v>
      </c>
      <c r="D29" s="8">
        <v>67</v>
      </c>
      <c r="E29" s="8">
        <v>93</v>
      </c>
      <c r="F29" s="8"/>
      <c r="G29" s="8"/>
      <c r="H29" s="8"/>
      <c r="I29" s="8">
        <v>60</v>
      </c>
      <c r="J29" s="15">
        <f t="shared" si="0"/>
        <v>66</v>
      </c>
      <c r="K29" s="8">
        <v>91</v>
      </c>
      <c r="L29" s="8">
        <v>91</v>
      </c>
      <c r="M29" s="15">
        <f t="shared" si="1"/>
        <v>9.1</v>
      </c>
      <c r="N29" s="8">
        <v>95</v>
      </c>
      <c r="O29" s="8">
        <v>95</v>
      </c>
      <c r="P29" s="15">
        <f t="shared" si="2"/>
        <v>9.5</v>
      </c>
      <c r="Q29" s="10"/>
      <c r="R29" s="201" t="str">
        <f t="shared" si="3"/>
        <v>ALTO</v>
      </c>
      <c r="S29" s="202"/>
      <c r="T29" s="202"/>
      <c r="U29" s="338"/>
      <c r="V29" s="51">
        <f t="shared" si="4"/>
        <v>84.6</v>
      </c>
      <c r="W29" s="10"/>
      <c r="X29" s="10"/>
    </row>
    <row r="30" spans="1:24" ht="15.75" customHeight="1" x14ac:dyDescent="0.25">
      <c r="A30" s="38">
        <v>25</v>
      </c>
      <c r="B30" s="70" t="s">
        <v>381</v>
      </c>
      <c r="C30" s="26">
        <v>100</v>
      </c>
      <c r="D30" s="8">
        <v>70</v>
      </c>
      <c r="E30" s="8">
        <v>62</v>
      </c>
      <c r="F30" s="8"/>
      <c r="G30" s="8"/>
      <c r="H30" s="8"/>
      <c r="I30" s="8">
        <v>70</v>
      </c>
      <c r="J30" s="15">
        <f t="shared" si="0"/>
        <v>61.279999999999994</v>
      </c>
      <c r="K30" s="8">
        <v>90</v>
      </c>
      <c r="L30" s="8">
        <v>90</v>
      </c>
      <c r="M30" s="15">
        <f t="shared" si="1"/>
        <v>9</v>
      </c>
      <c r="N30" s="8">
        <v>100</v>
      </c>
      <c r="O30" s="8">
        <v>100</v>
      </c>
      <c r="P30" s="15">
        <f t="shared" si="2"/>
        <v>10</v>
      </c>
      <c r="Q30" s="10"/>
      <c r="R30" s="201" t="str">
        <f t="shared" si="3"/>
        <v>ALTO</v>
      </c>
      <c r="S30" s="202"/>
      <c r="T30" s="202"/>
      <c r="U30" s="338"/>
      <c r="V30" s="51">
        <f t="shared" si="4"/>
        <v>80.28</v>
      </c>
      <c r="W30" s="10"/>
      <c r="X30" s="10"/>
    </row>
    <row r="31" spans="1:24" ht="15.75" customHeight="1" x14ac:dyDescent="0.25">
      <c r="A31" s="38">
        <v>26</v>
      </c>
      <c r="B31" s="70" t="s">
        <v>382</v>
      </c>
      <c r="C31" s="26">
        <v>99</v>
      </c>
      <c r="D31" s="8">
        <v>82</v>
      </c>
      <c r="E31" s="8">
        <v>81</v>
      </c>
      <c r="F31" s="8"/>
      <c r="G31" s="8"/>
      <c r="H31" s="8"/>
      <c r="I31" s="8">
        <v>55</v>
      </c>
      <c r="J31" s="15">
        <f t="shared" si="0"/>
        <v>67.28</v>
      </c>
      <c r="K31" s="8">
        <v>85</v>
      </c>
      <c r="L31" s="8">
        <v>85</v>
      </c>
      <c r="M31" s="15">
        <f t="shared" si="1"/>
        <v>8.5</v>
      </c>
      <c r="N31" s="8">
        <v>100</v>
      </c>
      <c r="O31" s="8">
        <v>100</v>
      </c>
      <c r="P31" s="15">
        <f t="shared" si="2"/>
        <v>10</v>
      </c>
      <c r="Q31" s="10"/>
      <c r="R31" s="201" t="str">
        <f t="shared" si="3"/>
        <v>ALTO</v>
      </c>
      <c r="S31" s="202"/>
      <c r="T31" s="202"/>
      <c r="U31" s="338"/>
      <c r="V31" s="51">
        <f t="shared" si="4"/>
        <v>85.78</v>
      </c>
      <c r="W31" s="10"/>
      <c r="X31" s="10"/>
    </row>
    <row r="32" spans="1:24" ht="15.75" customHeight="1" x14ac:dyDescent="0.25">
      <c r="A32" s="38">
        <v>27</v>
      </c>
      <c r="B32" s="70" t="s">
        <v>402</v>
      </c>
      <c r="C32" s="26">
        <v>100</v>
      </c>
      <c r="D32" s="8">
        <v>100</v>
      </c>
      <c r="E32" s="8">
        <v>100</v>
      </c>
      <c r="F32" s="8"/>
      <c r="G32" s="8"/>
      <c r="H32" s="8"/>
      <c r="I32" s="8">
        <v>67</v>
      </c>
      <c r="J32" s="15">
        <f t="shared" si="0"/>
        <v>77.36</v>
      </c>
      <c r="K32" s="8">
        <v>65</v>
      </c>
      <c r="L32" s="8">
        <v>65</v>
      </c>
      <c r="M32" s="15">
        <f t="shared" si="1"/>
        <v>6.5</v>
      </c>
      <c r="N32" s="8">
        <v>65</v>
      </c>
      <c r="O32" s="8">
        <v>65</v>
      </c>
      <c r="P32" s="15">
        <f t="shared" si="2"/>
        <v>6.5</v>
      </c>
      <c r="Q32" s="10"/>
      <c r="R32" s="201" t="str">
        <f t="shared" si="3"/>
        <v>SUPERIOR</v>
      </c>
      <c r="S32" s="202"/>
      <c r="T32" s="202"/>
      <c r="U32" s="338"/>
      <c r="V32" s="51">
        <f t="shared" si="4"/>
        <v>90.36</v>
      </c>
      <c r="W32" s="10"/>
      <c r="X32" s="10"/>
    </row>
    <row r="33" spans="1:24" ht="15.75" customHeight="1" x14ac:dyDescent="0.25">
      <c r="A33" s="38">
        <v>28</v>
      </c>
      <c r="B33" s="70" t="s">
        <v>383</v>
      </c>
      <c r="C33" s="26">
        <v>68</v>
      </c>
      <c r="D33" s="8">
        <v>49</v>
      </c>
      <c r="E33" s="8">
        <v>100</v>
      </c>
      <c r="F33" s="8"/>
      <c r="G33" s="8"/>
      <c r="H33" s="8"/>
      <c r="I33" s="8">
        <v>67</v>
      </c>
      <c r="J33" s="15">
        <f t="shared" si="0"/>
        <v>57.439999999999991</v>
      </c>
      <c r="K33" s="8">
        <v>88</v>
      </c>
      <c r="L33" s="8">
        <v>88</v>
      </c>
      <c r="M33" s="15">
        <f t="shared" si="1"/>
        <v>8.8000000000000007</v>
      </c>
      <c r="N33" s="8">
        <v>90</v>
      </c>
      <c r="O33" s="8">
        <v>90</v>
      </c>
      <c r="P33" s="15">
        <f t="shared" si="2"/>
        <v>9</v>
      </c>
      <c r="Q33" s="10"/>
      <c r="R33" s="201" t="str">
        <f t="shared" si="3"/>
        <v>BASICO</v>
      </c>
      <c r="S33" s="202"/>
      <c r="T33" s="202"/>
      <c r="U33" s="338"/>
      <c r="V33" s="51">
        <f t="shared" si="4"/>
        <v>75.239999999999995</v>
      </c>
      <c r="W33" s="10"/>
      <c r="X33" s="10"/>
    </row>
    <row r="34" spans="1:24" ht="15.75" customHeight="1" x14ac:dyDescent="0.25">
      <c r="A34" s="38">
        <v>29</v>
      </c>
      <c r="B34" s="71" t="s">
        <v>403</v>
      </c>
      <c r="C34" s="26">
        <v>46</v>
      </c>
      <c r="D34" s="8">
        <v>93</v>
      </c>
      <c r="E34" s="8">
        <v>96</v>
      </c>
      <c r="F34" s="8"/>
      <c r="G34" s="8"/>
      <c r="H34" s="8"/>
      <c r="I34" s="8">
        <v>55</v>
      </c>
      <c r="J34" s="15">
        <f t="shared" si="0"/>
        <v>60.79999999999999</v>
      </c>
      <c r="K34" s="8">
        <v>100</v>
      </c>
      <c r="L34" s="8">
        <v>100</v>
      </c>
      <c r="M34" s="15">
        <f t="shared" si="1"/>
        <v>10</v>
      </c>
      <c r="N34" s="8">
        <v>96</v>
      </c>
      <c r="O34" s="8">
        <v>96</v>
      </c>
      <c r="P34" s="15">
        <f t="shared" si="2"/>
        <v>9.6000000000000014</v>
      </c>
      <c r="Q34" s="10"/>
      <c r="R34" s="201" t="str">
        <f t="shared" si="3"/>
        <v>ALTO</v>
      </c>
      <c r="S34" s="202"/>
      <c r="T34" s="202"/>
      <c r="U34" s="338"/>
      <c r="V34" s="51">
        <f t="shared" si="4"/>
        <v>80.399999999999977</v>
      </c>
      <c r="W34" s="10"/>
      <c r="X34" s="10"/>
    </row>
    <row r="35" spans="1:24" ht="15.75" customHeight="1" x14ac:dyDescent="0.25">
      <c r="A35" s="38">
        <v>30</v>
      </c>
      <c r="B35" s="70" t="s">
        <v>757</v>
      </c>
      <c r="C35" s="26">
        <v>23</v>
      </c>
      <c r="D35" s="8">
        <v>45</v>
      </c>
      <c r="E35" s="8">
        <v>48</v>
      </c>
      <c r="F35" s="8"/>
      <c r="G35" s="8"/>
      <c r="H35" s="8"/>
      <c r="I35" s="8">
        <v>40</v>
      </c>
      <c r="J35" s="15">
        <f t="shared" si="0"/>
        <v>31.039999999999996</v>
      </c>
      <c r="K35" s="8">
        <v>93</v>
      </c>
      <c r="L35" s="8">
        <v>93</v>
      </c>
      <c r="M35" s="15">
        <f t="shared" si="1"/>
        <v>9.3000000000000007</v>
      </c>
      <c r="N35" s="8">
        <v>100</v>
      </c>
      <c r="O35" s="8">
        <v>100</v>
      </c>
      <c r="P35" s="15">
        <f t="shared" si="2"/>
        <v>10</v>
      </c>
      <c r="Q35" s="10"/>
      <c r="R35" s="201" t="str">
        <f t="shared" si="3"/>
        <v>BAJO</v>
      </c>
      <c r="S35" s="202"/>
      <c r="T35" s="202"/>
      <c r="U35" s="338"/>
      <c r="V35" s="51">
        <f t="shared" si="4"/>
        <v>50.339999999999996</v>
      </c>
      <c r="W35" s="10"/>
      <c r="X35" s="10"/>
    </row>
    <row r="36" spans="1:24" ht="15.75" customHeight="1" x14ac:dyDescent="0.25">
      <c r="A36" s="38">
        <v>31</v>
      </c>
      <c r="B36" s="70" t="s">
        <v>404</v>
      </c>
      <c r="C36" s="26">
        <v>100</v>
      </c>
      <c r="D36" s="8">
        <v>100</v>
      </c>
      <c r="E36" s="8">
        <v>100</v>
      </c>
      <c r="F36" s="8"/>
      <c r="G36" s="8"/>
      <c r="H36" s="8"/>
      <c r="I36" s="8">
        <v>40</v>
      </c>
      <c r="J36" s="15">
        <f t="shared" si="0"/>
        <v>75.2</v>
      </c>
      <c r="K36" s="8">
        <v>65</v>
      </c>
      <c r="L36" s="8">
        <v>65</v>
      </c>
      <c r="M36" s="15">
        <f t="shared" si="1"/>
        <v>6.5</v>
      </c>
      <c r="N36" s="8">
        <v>65</v>
      </c>
      <c r="O36" s="8">
        <v>65</v>
      </c>
      <c r="P36" s="15">
        <f t="shared" si="2"/>
        <v>6.5</v>
      </c>
      <c r="Q36" s="10"/>
      <c r="R36" s="201" t="str">
        <f t="shared" si="3"/>
        <v>ALTO</v>
      </c>
      <c r="S36" s="202"/>
      <c r="T36" s="202"/>
      <c r="U36" s="338"/>
      <c r="V36" s="51">
        <f t="shared" si="4"/>
        <v>88.2</v>
      </c>
      <c r="W36" s="10"/>
      <c r="X36" s="10"/>
    </row>
    <row r="37" spans="1:24" ht="15.75" customHeight="1" x14ac:dyDescent="0.25">
      <c r="A37" s="38">
        <v>32</v>
      </c>
      <c r="B37" s="68" t="s">
        <v>406</v>
      </c>
      <c r="C37" s="26">
        <v>88</v>
      </c>
      <c r="D37" s="8">
        <v>83</v>
      </c>
      <c r="E37" s="8">
        <v>100</v>
      </c>
      <c r="F37" s="8"/>
      <c r="G37" s="8"/>
      <c r="H37" s="8"/>
      <c r="I37" s="8">
        <v>92</v>
      </c>
      <c r="J37" s="15">
        <f t="shared" si="0"/>
        <v>72.399999999999991</v>
      </c>
      <c r="K37" s="8">
        <v>97</v>
      </c>
      <c r="L37" s="8">
        <v>97</v>
      </c>
      <c r="M37" s="15">
        <f t="shared" si="1"/>
        <v>9.7000000000000011</v>
      </c>
      <c r="N37" s="8">
        <v>77</v>
      </c>
      <c r="O37" s="8">
        <v>77</v>
      </c>
      <c r="P37" s="15">
        <f t="shared" si="2"/>
        <v>7.7</v>
      </c>
      <c r="Q37" s="10"/>
      <c r="R37" s="201" t="str">
        <f t="shared" si="3"/>
        <v>SUPERIOR</v>
      </c>
      <c r="S37" s="202"/>
      <c r="T37" s="202"/>
      <c r="U37" s="338"/>
      <c r="V37" s="51">
        <f t="shared" si="4"/>
        <v>89.8</v>
      </c>
      <c r="W37" s="10"/>
      <c r="X37" s="10"/>
    </row>
    <row r="38" spans="1:24" ht="15.75" customHeight="1" x14ac:dyDescent="0.25">
      <c r="A38" s="38">
        <v>33</v>
      </c>
      <c r="B38" s="67" t="s">
        <v>414</v>
      </c>
      <c r="C38" s="26">
        <v>35</v>
      </c>
      <c r="D38" s="8">
        <v>85</v>
      </c>
      <c r="E38" s="8">
        <v>97</v>
      </c>
      <c r="F38" s="8"/>
      <c r="G38" s="8"/>
      <c r="H38" s="8"/>
      <c r="I38" s="8">
        <v>67</v>
      </c>
      <c r="J38" s="15">
        <f t="shared" si="0"/>
        <v>57.439999999999991</v>
      </c>
      <c r="K38" s="8">
        <v>88</v>
      </c>
      <c r="L38" s="8">
        <v>88</v>
      </c>
      <c r="M38" s="15">
        <f t="shared" si="1"/>
        <v>8.8000000000000007</v>
      </c>
      <c r="N38" s="8">
        <v>91</v>
      </c>
      <c r="O38" s="8">
        <v>91</v>
      </c>
      <c r="P38" s="15">
        <f t="shared" si="2"/>
        <v>9.1</v>
      </c>
      <c r="Q38" s="10"/>
      <c r="R38" s="201" t="str">
        <f t="shared" si="3"/>
        <v>BASICO</v>
      </c>
      <c r="S38" s="202"/>
      <c r="T38" s="202"/>
      <c r="U38" s="338"/>
      <c r="V38" s="51">
        <f t="shared" si="4"/>
        <v>75.339999999999989</v>
      </c>
      <c r="W38" s="10"/>
      <c r="X38" s="10"/>
    </row>
    <row r="39" spans="1:24" ht="15.75" customHeight="1" x14ac:dyDescent="0.25">
      <c r="A39" s="38">
        <v>34</v>
      </c>
      <c r="B39" s="67" t="s">
        <v>758</v>
      </c>
      <c r="C39" s="26">
        <v>65</v>
      </c>
      <c r="D39" s="8">
        <v>33</v>
      </c>
      <c r="E39" s="8">
        <v>57</v>
      </c>
      <c r="F39" s="8"/>
      <c r="G39" s="8"/>
      <c r="H39" s="8"/>
      <c r="I39" s="8">
        <v>67</v>
      </c>
      <c r="J39" s="15">
        <f t="shared" si="0"/>
        <v>42.559999999999995</v>
      </c>
      <c r="K39" s="8">
        <v>82</v>
      </c>
      <c r="L39" s="8">
        <v>82</v>
      </c>
      <c r="M39" s="15">
        <f t="shared" si="1"/>
        <v>8.2000000000000011</v>
      </c>
      <c r="N39" s="8">
        <v>94</v>
      </c>
      <c r="O39" s="8">
        <v>94</v>
      </c>
      <c r="P39" s="15">
        <f t="shared" si="2"/>
        <v>9.4</v>
      </c>
      <c r="Q39" s="10"/>
      <c r="R39" s="201" t="str">
        <f t="shared" si="3"/>
        <v>BAJO</v>
      </c>
      <c r="S39" s="202"/>
      <c r="T39" s="202"/>
      <c r="U39" s="338"/>
      <c r="V39" s="51">
        <f t="shared" si="4"/>
        <v>60.16</v>
      </c>
      <c r="W39" s="10"/>
      <c r="X39" s="10"/>
    </row>
    <row r="40" spans="1:24" ht="15.75" customHeight="1" x14ac:dyDescent="0.25">
      <c r="A40" s="38">
        <v>35</v>
      </c>
      <c r="B40" s="120" t="s">
        <v>409</v>
      </c>
      <c r="C40" s="26">
        <v>52</v>
      </c>
      <c r="D40" s="8">
        <v>34</v>
      </c>
      <c r="E40" s="8">
        <v>37</v>
      </c>
      <c r="F40" s="8"/>
      <c r="G40" s="8"/>
      <c r="H40" s="8"/>
      <c r="I40" s="8">
        <v>60</v>
      </c>
      <c r="J40" s="15">
        <f t="shared" si="0"/>
        <v>34.32</v>
      </c>
      <c r="K40" s="8">
        <v>80</v>
      </c>
      <c r="L40" s="8">
        <v>80</v>
      </c>
      <c r="M40" s="15">
        <f t="shared" si="1"/>
        <v>8</v>
      </c>
      <c r="N40" s="8">
        <v>80</v>
      </c>
      <c r="O40" s="8">
        <v>80</v>
      </c>
      <c r="P40" s="15">
        <f t="shared" si="2"/>
        <v>8</v>
      </c>
      <c r="Q40" s="10"/>
      <c r="R40" s="201" t="str">
        <f t="shared" si="3"/>
        <v>BAJO</v>
      </c>
      <c r="S40" s="202"/>
      <c r="T40" s="202"/>
      <c r="U40" s="338"/>
      <c r="V40" s="51">
        <f t="shared" si="4"/>
        <v>50.32</v>
      </c>
      <c r="W40" s="10"/>
      <c r="X40" s="10"/>
    </row>
    <row r="41" spans="1:24" ht="15.75" customHeight="1" x14ac:dyDescent="0.25">
      <c r="A41" s="38">
        <v>36</v>
      </c>
      <c r="B41" s="67" t="s">
        <v>411</v>
      </c>
      <c r="C41" s="26">
        <v>29</v>
      </c>
      <c r="D41" s="8">
        <v>51</v>
      </c>
      <c r="E41" s="8">
        <v>98</v>
      </c>
      <c r="F41" s="8"/>
      <c r="G41" s="8"/>
      <c r="H41" s="8"/>
      <c r="I41" s="8">
        <v>40</v>
      </c>
      <c r="J41" s="15">
        <f t="shared" si="0"/>
        <v>45.92</v>
      </c>
      <c r="K41" s="8">
        <v>86</v>
      </c>
      <c r="L41" s="8">
        <v>86</v>
      </c>
      <c r="M41" s="15">
        <f t="shared" si="1"/>
        <v>8.6</v>
      </c>
      <c r="N41" s="8">
        <v>83</v>
      </c>
      <c r="O41" s="8">
        <v>83</v>
      </c>
      <c r="P41" s="15">
        <f t="shared" si="2"/>
        <v>8.3000000000000007</v>
      </c>
      <c r="Q41" s="10"/>
      <c r="R41" s="201" t="str">
        <f t="shared" si="3"/>
        <v>BAJO</v>
      </c>
      <c r="S41" s="202"/>
      <c r="T41" s="202"/>
      <c r="U41" s="338"/>
      <c r="V41" s="51">
        <f t="shared" si="4"/>
        <v>62.820000000000007</v>
      </c>
      <c r="W41" s="10"/>
      <c r="X41" s="10"/>
    </row>
    <row r="42" spans="1:24" ht="15.75" customHeight="1" x14ac:dyDescent="0.25">
      <c r="A42" s="38">
        <v>37</v>
      </c>
      <c r="B42" s="67"/>
      <c r="C42" s="26"/>
      <c r="D42" s="8"/>
      <c r="E42" s="8"/>
      <c r="F42" s="8"/>
      <c r="G42" s="8"/>
      <c r="H42" s="8"/>
      <c r="I42" s="8"/>
      <c r="J42" s="15" t="e">
        <f t="shared" si="0"/>
        <v>#DIV/0!</v>
      </c>
      <c r="K42" s="8"/>
      <c r="L42" s="8"/>
      <c r="M42" s="15" t="e">
        <f t="shared" si="1"/>
        <v>#DIV/0!</v>
      </c>
      <c r="N42" s="8"/>
      <c r="O42" s="8"/>
      <c r="P42" s="15" t="e">
        <f t="shared" si="2"/>
        <v>#DIV/0!</v>
      </c>
      <c r="Q42" s="10"/>
      <c r="R42" s="201" t="e">
        <f t="shared" si="3"/>
        <v>#DIV/0!</v>
      </c>
      <c r="S42" s="202"/>
      <c r="T42" s="202"/>
      <c r="U42" s="338"/>
      <c r="V42" s="51" t="e">
        <f t="shared" si="4"/>
        <v>#DIV/0!</v>
      </c>
      <c r="W42" s="10"/>
      <c r="X42" s="10"/>
    </row>
    <row r="43" spans="1:24" ht="15.75" customHeight="1" x14ac:dyDescent="0.25">
      <c r="A43" s="38">
        <v>38</v>
      </c>
      <c r="B43" s="130"/>
      <c r="C43" s="26"/>
      <c r="D43" s="8"/>
      <c r="E43" s="8"/>
      <c r="F43" s="8"/>
      <c r="G43" s="8"/>
      <c r="H43" s="8"/>
      <c r="I43" s="8"/>
      <c r="J43" s="15" t="e">
        <f t="shared" si="0"/>
        <v>#DIV/0!</v>
      </c>
      <c r="K43" s="8"/>
      <c r="L43" s="8"/>
      <c r="M43" s="15" t="e">
        <f t="shared" si="1"/>
        <v>#DIV/0!</v>
      </c>
      <c r="N43" s="8"/>
      <c r="O43" s="8"/>
      <c r="P43" s="15" t="e">
        <f t="shared" si="2"/>
        <v>#DIV/0!</v>
      </c>
      <c r="Q43" s="10"/>
      <c r="R43" s="201" t="e">
        <f t="shared" si="3"/>
        <v>#DIV/0!</v>
      </c>
      <c r="S43" s="202"/>
      <c r="T43" s="202"/>
      <c r="U43" s="338"/>
      <c r="V43" s="51" t="e">
        <f t="shared" si="4"/>
        <v>#DIV/0!</v>
      </c>
      <c r="W43" s="10"/>
      <c r="X43" s="10"/>
    </row>
    <row r="44" spans="1:24" ht="15.75" customHeight="1" x14ac:dyDescent="0.25">
      <c r="A44" s="38">
        <v>39</v>
      </c>
      <c r="B44" s="89"/>
      <c r="C44" s="26"/>
      <c r="D44" s="8"/>
      <c r="E44" s="8"/>
      <c r="F44" s="8"/>
      <c r="G44" s="8"/>
      <c r="H44" s="8"/>
      <c r="I44" s="8"/>
      <c r="J44" s="15" t="e">
        <f t="shared" si="0"/>
        <v>#DIV/0!</v>
      </c>
      <c r="K44" s="8"/>
      <c r="L44" s="8"/>
      <c r="M44" s="15" t="e">
        <f t="shared" si="1"/>
        <v>#DIV/0!</v>
      </c>
      <c r="N44" s="8"/>
      <c r="O44" s="8"/>
      <c r="P44" s="15" t="e">
        <f t="shared" si="2"/>
        <v>#DIV/0!</v>
      </c>
      <c r="Q44" s="10"/>
      <c r="R44" s="201" t="e">
        <f t="shared" si="3"/>
        <v>#DIV/0!</v>
      </c>
      <c r="S44" s="202"/>
      <c r="T44" s="202"/>
      <c r="U44" s="338"/>
      <c r="V44" s="51" t="e">
        <f t="shared" si="4"/>
        <v>#DIV/0!</v>
      </c>
      <c r="W44" s="10"/>
      <c r="X44" s="10"/>
    </row>
    <row r="45" spans="1:24" ht="15.75" customHeight="1" x14ac:dyDescent="0.25">
      <c r="A45" s="38">
        <v>40</v>
      </c>
      <c r="B45" s="89"/>
      <c r="C45" s="26"/>
      <c r="D45" s="8"/>
      <c r="E45" s="8"/>
      <c r="F45" s="8"/>
      <c r="G45" s="8"/>
      <c r="H45" s="8"/>
      <c r="I45" s="8"/>
      <c r="J45" s="15" t="e">
        <f t="shared" si="0"/>
        <v>#DIV/0!</v>
      </c>
      <c r="K45" s="8"/>
      <c r="L45" s="8"/>
      <c r="M45" s="15" t="e">
        <f t="shared" si="1"/>
        <v>#DIV/0!</v>
      </c>
      <c r="N45" s="8"/>
      <c r="O45" s="8"/>
      <c r="P45" s="15" t="e">
        <f t="shared" si="2"/>
        <v>#DIV/0!</v>
      </c>
      <c r="Q45" s="10"/>
      <c r="R45" s="201" t="e">
        <f t="shared" si="3"/>
        <v>#DIV/0!</v>
      </c>
      <c r="S45" s="202"/>
      <c r="T45" s="202"/>
      <c r="U45" s="338"/>
      <c r="V45" s="51" t="e">
        <f t="shared" si="4"/>
        <v>#DIV/0!</v>
      </c>
      <c r="W45" s="10"/>
      <c r="X45" s="10"/>
    </row>
    <row r="46" spans="1:24" ht="15.75" customHeight="1" x14ac:dyDescent="0.25">
      <c r="A46" s="38">
        <v>41</v>
      </c>
      <c r="B46" s="89"/>
      <c r="C46" s="26"/>
      <c r="D46" s="8"/>
      <c r="E46" s="8"/>
      <c r="F46" s="8"/>
      <c r="G46" s="8"/>
      <c r="H46" s="8"/>
      <c r="I46" s="8"/>
      <c r="J46" s="15" t="e">
        <f t="shared" si="0"/>
        <v>#DIV/0!</v>
      </c>
      <c r="K46" s="8"/>
      <c r="L46" s="8"/>
      <c r="M46" s="15" t="e">
        <f t="shared" si="1"/>
        <v>#DIV/0!</v>
      </c>
      <c r="N46" s="8"/>
      <c r="O46" s="8"/>
      <c r="P46" s="15" t="e">
        <f t="shared" si="2"/>
        <v>#DIV/0!</v>
      </c>
      <c r="Q46" s="10"/>
      <c r="R46" s="201" t="e">
        <f t="shared" si="3"/>
        <v>#DIV/0!</v>
      </c>
      <c r="S46" s="202"/>
      <c r="T46" s="202"/>
      <c r="U46" s="338"/>
      <c r="V46" s="51" t="e">
        <f t="shared" si="4"/>
        <v>#DIV/0!</v>
      </c>
      <c r="W46" s="10"/>
      <c r="X46" s="10"/>
    </row>
    <row r="47" spans="1:24" ht="15.75" customHeight="1" x14ac:dyDescent="0.25">
      <c r="A47" s="38">
        <v>42</v>
      </c>
      <c r="B47" s="92"/>
      <c r="C47" s="26"/>
      <c r="D47" s="8"/>
      <c r="E47" s="8"/>
      <c r="F47" s="8"/>
      <c r="G47" s="8"/>
      <c r="H47" s="8"/>
      <c r="I47" s="8"/>
      <c r="J47" s="15" t="e">
        <f t="shared" si="0"/>
        <v>#DIV/0!</v>
      </c>
      <c r="K47" s="8"/>
      <c r="L47" s="8"/>
      <c r="M47" s="15" t="e">
        <f t="shared" si="1"/>
        <v>#DIV/0!</v>
      </c>
      <c r="N47" s="8"/>
      <c r="O47" s="8"/>
      <c r="P47" s="15" t="e">
        <f t="shared" si="2"/>
        <v>#DIV/0!</v>
      </c>
      <c r="Q47" s="10"/>
      <c r="R47" s="201" t="e">
        <f t="shared" si="3"/>
        <v>#DIV/0!</v>
      </c>
      <c r="S47" s="202"/>
      <c r="T47" s="202"/>
      <c r="U47" s="338"/>
      <c r="V47" s="51" t="e">
        <f t="shared" si="4"/>
        <v>#DIV/0!</v>
      </c>
      <c r="W47" s="10"/>
      <c r="X47" s="10"/>
    </row>
    <row r="48" spans="1:24" ht="15.75" customHeight="1" x14ac:dyDescent="0.25">
      <c r="A48" s="38">
        <v>43</v>
      </c>
      <c r="B48" s="92"/>
      <c r="C48" s="26"/>
      <c r="D48" s="8"/>
      <c r="E48" s="8"/>
      <c r="F48" s="8"/>
      <c r="G48" s="8"/>
      <c r="H48" s="8"/>
      <c r="I48" s="8"/>
      <c r="J48" s="15" t="e">
        <f t="shared" si="0"/>
        <v>#DIV/0!</v>
      </c>
      <c r="K48" s="8"/>
      <c r="L48" s="8"/>
      <c r="M48" s="15" t="e">
        <f t="shared" si="1"/>
        <v>#DIV/0!</v>
      </c>
      <c r="N48" s="8"/>
      <c r="O48" s="8"/>
      <c r="P48" s="15" t="e">
        <f t="shared" si="2"/>
        <v>#DIV/0!</v>
      </c>
      <c r="Q48" s="10"/>
      <c r="R48" s="201" t="e">
        <f t="shared" si="3"/>
        <v>#DIV/0!</v>
      </c>
      <c r="S48" s="202"/>
      <c r="T48" s="202"/>
      <c r="U48" s="338"/>
      <c r="V48" s="51" t="e">
        <f t="shared" si="4"/>
        <v>#DIV/0!</v>
      </c>
      <c r="W48" s="10"/>
      <c r="X48" s="10"/>
    </row>
    <row r="49" spans="1:24" ht="15.75" customHeight="1" x14ac:dyDescent="0.25">
      <c r="A49" s="38">
        <v>44</v>
      </c>
      <c r="B49" s="92"/>
      <c r="C49" s="26"/>
      <c r="D49" s="8"/>
      <c r="E49" s="8"/>
      <c r="F49" s="8"/>
      <c r="G49" s="8"/>
      <c r="H49" s="8"/>
      <c r="I49" s="8"/>
      <c r="J49" s="15" t="e">
        <f t="shared" si="0"/>
        <v>#DIV/0!</v>
      </c>
      <c r="K49" s="8"/>
      <c r="L49" s="8"/>
      <c r="M49" s="15" t="e">
        <f t="shared" si="1"/>
        <v>#DIV/0!</v>
      </c>
      <c r="N49" s="8"/>
      <c r="O49" s="8"/>
      <c r="P49" s="15" t="e">
        <f t="shared" si="2"/>
        <v>#DIV/0!</v>
      </c>
      <c r="Q49" s="10"/>
      <c r="R49" s="201" t="e">
        <f t="shared" si="3"/>
        <v>#DIV/0!</v>
      </c>
      <c r="S49" s="202"/>
      <c r="T49" s="202"/>
      <c r="U49" s="338"/>
      <c r="V49" s="51" t="e">
        <f t="shared" si="4"/>
        <v>#DIV/0!</v>
      </c>
      <c r="W49" s="10"/>
      <c r="X49" s="10"/>
    </row>
    <row r="50" spans="1:24" ht="15.75" customHeight="1" x14ac:dyDescent="0.25">
      <c r="A50" s="38">
        <v>45</v>
      </c>
      <c r="B50" s="92"/>
      <c r="C50" s="26"/>
      <c r="D50" s="8"/>
      <c r="E50" s="8"/>
      <c r="F50" s="8"/>
      <c r="G50" s="8"/>
      <c r="H50" s="8"/>
      <c r="I50" s="8"/>
      <c r="J50" s="15" t="e">
        <f t="shared" si="0"/>
        <v>#DIV/0!</v>
      </c>
      <c r="K50" s="8"/>
      <c r="L50" s="8"/>
      <c r="M50" s="15" t="e">
        <f t="shared" si="1"/>
        <v>#DIV/0!</v>
      </c>
      <c r="N50" s="8"/>
      <c r="O50" s="8"/>
      <c r="P50" s="15" t="e">
        <f t="shared" si="2"/>
        <v>#DIV/0!</v>
      </c>
      <c r="Q50" s="10"/>
      <c r="R50" s="201" t="e">
        <f t="shared" si="3"/>
        <v>#DIV/0!</v>
      </c>
      <c r="S50" s="202"/>
      <c r="T50" s="202"/>
      <c r="U50" s="338"/>
      <c r="V50" s="51" t="e">
        <f>J50+M50+P50</f>
        <v>#DIV/0!</v>
      </c>
      <c r="W50" s="10"/>
      <c r="X50" s="10"/>
    </row>
    <row r="51" spans="1:24" ht="15.75" customHeight="1" thickBot="1" x14ac:dyDescent="0.3">
      <c r="A51" s="39">
        <v>46</v>
      </c>
      <c r="B51" s="93"/>
      <c r="C51" s="54"/>
      <c r="D51" s="47"/>
      <c r="E51" s="47"/>
      <c r="F51" s="47"/>
      <c r="G51" s="47"/>
      <c r="H51" s="47"/>
      <c r="I51" s="47"/>
      <c r="J51" s="48" t="e">
        <f t="shared" si="0"/>
        <v>#DIV/0!</v>
      </c>
      <c r="K51" s="47"/>
      <c r="L51" s="47"/>
      <c r="M51" s="48" t="e">
        <f t="shared" si="1"/>
        <v>#DIV/0!</v>
      </c>
      <c r="N51" s="47"/>
      <c r="O51" s="47"/>
      <c r="P51" s="48" t="e">
        <f t="shared" si="2"/>
        <v>#DIV/0!</v>
      </c>
      <c r="Q51" s="49"/>
      <c r="R51" s="330" t="e">
        <f t="shared" si="3"/>
        <v>#DIV/0!</v>
      </c>
      <c r="S51" s="331"/>
      <c r="T51" s="331"/>
      <c r="U51" s="344"/>
      <c r="V51" s="52" t="e">
        <f t="shared" si="4"/>
        <v>#DIV/0!</v>
      </c>
      <c r="W51" s="10"/>
      <c r="X51" s="10"/>
    </row>
    <row r="52" spans="1:24" ht="15.75" customHeight="1" x14ac:dyDescent="0.25">
      <c r="A52" s="263"/>
      <c r="B52" s="301"/>
      <c r="C52" s="257"/>
      <c r="D52" s="257"/>
      <c r="E52" s="267"/>
      <c r="F52" s="270"/>
      <c r="G52" s="270"/>
      <c r="H52" s="270"/>
      <c r="I52" s="270"/>
      <c r="J52" s="272"/>
      <c r="K52" s="272"/>
      <c r="L52" s="257"/>
      <c r="M52" s="259"/>
      <c r="N52" s="259"/>
      <c r="O52" s="259"/>
      <c r="P52" s="259"/>
      <c r="Q52" s="261"/>
      <c r="R52" s="277"/>
      <c r="S52" s="278"/>
      <c r="T52" s="279"/>
      <c r="U52" s="283"/>
      <c r="V52" s="284"/>
      <c r="W52" s="255"/>
      <c r="X52" s="181"/>
    </row>
    <row r="53" spans="1:24" ht="15.75" customHeight="1" x14ac:dyDescent="0.25">
      <c r="A53" s="264"/>
      <c r="B53" s="302"/>
      <c r="C53" s="205"/>
      <c r="D53" s="205"/>
      <c r="E53" s="210"/>
      <c r="F53" s="211"/>
      <c r="G53" s="211"/>
      <c r="H53" s="211"/>
      <c r="I53" s="211"/>
      <c r="J53" s="204"/>
      <c r="K53" s="204"/>
      <c r="L53" s="205"/>
      <c r="M53" s="185"/>
      <c r="N53" s="185"/>
      <c r="O53" s="185"/>
      <c r="P53" s="185"/>
      <c r="Q53" s="187"/>
      <c r="R53" s="188"/>
      <c r="S53" s="189"/>
      <c r="T53" s="190"/>
      <c r="U53" s="194"/>
      <c r="V53" s="285"/>
      <c r="W53" s="255"/>
      <c r="X53" s="181"/>
    </row>
    <row r="54" spans="1:24" ht="15.75" customHeight="1" x14ac:dyDescent="0.25">
      <c r="A54" s="264"/>
      <c r="B54" s="303"/>
      <c r="C54" s="205"/>
      <c r="D54" s="205"/>
      <c r="E54" s="210"/>
      <c r="F54" s="211"/>
      <c r="G54" s="211"/>
      <c r="H54" s="211"/>
      <c r="I54" s="211"/>
      <c r="J54" s="204"/>
      <c r="K54" s="204"/>
      <c r="L54" s="205"/>
      <c r="M54" s="185"/>
      <c r="N54" s="185"/>
      <c r="O54" s="185"/>
      <c r="P54" s="185"/>
      <c r="Q54" s="187"/>
      <c r="R54" s="188"/>
      <c r="S54" s="189"/>
      <c r="T54" s="190"/>
      <c r="U54" s="194"/>
      <c r="V54" s="285"/>
      <c r="W54" s="255"/>
      <c r="X54" s="181"/>
    </row>
    <row r="55" spans="1:24" ht="60" customHeight="1" thickBot="1" x14ac:dyDescent="0.3">
      <c r="A55" s="265"/>
      <c r="B55" s="304"/>
      <c r="C55" s="258"/>
      <c r="D55" s="258"/>
      <c r="E55" s="268"/>
      <c r="F55" s="271"/>
      <c r="G55" s="271"/>
      <c r="H55" s="271"/>
      <c r="I55" s="271"/>
      <c r="J55" s="273"/>
      <c r="K55" s="273"/>
      <c r="L55" s="258"/>
      <c r="M55" s="260"/>
      <c r="N55" s="260"/>
      <c r="O55" s="260"/>
      <c r="P55" s="260"/>
      <c r="Q55" s="262"/>
      <c r="R55" s="280"/>
      <c r="S55" s="281"/>
      <c r="T55" s="282"/>
      <c r="U55" s="286"/>
      <c r="V55" s="287"/>
      <c r="W55" s="255"/>
      <c r="X55" s="181"/>
    </row>
    <row r="56" spans="1:24" ht="87.75" customHeight="1" thickBot="1" x14ac:dyDescent="0.3">
      <c r="A56" s="290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291"/>
      <c r="N56" s="291"/>
      <c r="O56" s="291"/>
      <c r="P56" s="292"/>
      <c r="Q56" s="310"/>
      <c r="R56" s="228"/>
      <c r="S56" s="228"/>
      <c r="T56" s="228"/>
      <c r="U56" s="228"/>
      <c r="V56" s="228"/>
      <c r="W56" s="228"/>
      <c r="X56" s="229"/>
    </row>
    <row r="57" spans="1:24" ht="15.75" thickBot="1" x14ac:dyDescent="0.3">
      <c r="A57" s="218" t="s">
        <v>18</v>
      </c>
      <c r="B57" s="219"/>
      <c r="C57" s="220" t="s">
        <v>931</v>
      </c>
      <c r="D57" s="221"/>
      <c r="E57" s="221"/>
      <c r="F57" s="221"/>
      <c r="G57" s="221"/>
      <c r="H57" s="221"/>
      <c r="I57" s="222"/>
      <c r="J57" s="223" t="s">
        <v>20</v>
      </c>
      <c r="K57" s="224"/>
      <c r="L57" s="224"/>
      <c r="M57" s="224"/>
      <c r="N57" s="225"/>
      <c r="O57" s="225"/>
      <c r="P57" s="225"/>
      <c r="Q57" s="226"/>
      <c r="R57" s="227" t="s">
        <v>38</v>
      </c>
      <c r="S57" s="228"/>
      <c r="T57" s="228"/>
      <c r="U57" s="228"/>
      <c r="V57" s="228"/>
      <c r="W57" s="228"/>
      <c r="X57" s="229"/>
    </row>
    <row r="58" spans="1:24" ht="20.25" customHeight="1" x14ac:dyDescent="0.25">
      <c r="A58" s="230" t="s">
        <v>0</v>
      </c>
      <c r="B58" s="293" t="s">
        <v>1</v>
      </c>
      <c r="C58" s="235" t="s">
        <v>12</v>
      </c>
      <c r="D58" s="235"/>
      <c r="E58" s="235"/>
      <c r="F58" s="235"/>
      <c r="G58" s="235"/>
      <c r="H58" s="235"/>
      <c r="I58" s="235"/>
      <c r="J58" s="235"/>
      <c r="K58" s="236" t="s">
        <v>13</v>
      </c>
      <c r="L58" s="237"/>
      <c r="M58" s="237"/>
      <c r="N58" s="240" t="s">
        <v>15</v>
      </c>
      <c r="O58" s="240"/>
      <c r="P58" s="240"/>
      <c r="Q58" s="241" t="s">
        <v>4</v>
      </c>
      <c r="R58" s="244" t="s">
        <v>11</v>
      </c>
      <c r="S58" s="244"/>
      <c r="T58" s="244"/>
      <c r="U58" s="244"/>
      <c r="V58" s="244"/>
      <c r="W58" s="246" t="s">
        <v>2</v>
      </c>
      <c r="X58" s="247"/>
    </row>
    <row r="59" spans="1:24" ht="15" customHeight="1" x14ac:dyDescent="0.25">
      <c r="A59" s="231"/>
      <c r="B59" s="294"/>
      <c r="C59" s="248" t="s">
        <v>6</v>
      </c>
      <c r="D59" s="248" t="s">
        <v>17</v>
      </c>
      <c r="E59" s="248" t="s">
        <v>5</v>
      </c>
      <c r="F59" s="250"/>
      <c r="G59" s="250"/>
      <c r="H59" s="250"/>
      <c r="I59" s="251" t="s">
        <v>16</v>
      </c>
      <c r="J59" s="253" t="s">
        <v>14</v>
      </c>
      <c r="K59" s="238"/>
      <c r="L59" s="239"/>
      <c r="M59" s="239"/>
      <c r="N59" s="240"/>
      <c r="O59" s="240"/>
      <c r="P59" s="240"/>
      <c r="Q59" s="242"/>
      <c r="R59" s="245"/>
      <c r="S59" s="245"/>
      <c r="T59" s="245"/>
      <c r="U59" s="245"/>
      <c r="V59" s="245"/>
      <c r="W59" s="187"/>
      <c r="X59" s="187"/>
    </row>
    <row r="60" spans="1:24" ht="45" customHeight="1" thickBot="1" x14ac:dyDescent="0.3">
      <c r="A60" s="232"/>
      <c r="B60" s="295"/>
      <c r="C60" s="248"/>
      <c r="D60" s="248"/>
      <c r="E60" s="248"/>
      <c r="F60" s="248"/>
      <c r="G60" s="248"/>
      <c r="H60" s="248"/>
      <c r="I60" s="328"/>
      <c r="J60" s="329"/>
      <c r="K60" s="27" t="s">
        <v>9</v>
      </c>
      <c r="L60" s="27" t="s">
        <v>10</v>
      </c>
      <c r="M60" s="55" t="s">
        <v>3</v>
      </c>
      <c r="N60" s="27" t="s">
        <v>9</v>
      </c>
      <c r="O60" s="27" t="s">
        <v>10</v>
      </c>
      <c r="P60" s="56" t="s">
        <v>3</v>
      </c>
      <c r="Q60" s="321"/>
      <c r="R60" s="322" t="s">
        <v>7</v>
      </c>
      <c r="S60" s="323"/>
      <c r="T60" s="323"/>
      <c r="U60" s="324"/>
      <c r="V60" s="23" t="s">
        <v>8</v>
      </c>
      <c r="W60" s="5">
        <v>1</v>
      </c>
      <c r="X60" s="5">
        <v>2</v>
      </c>
    </row>
    <row r="61" spans="1:24" x14ac:dyDescent="0.25">
      <c r="A61" s="6">
        <v>1</v>
      </c>
      <c r="B61" s="69" t="s">
        <v>340</v>
      </c>
      <c r="C61" s="44">
        <v>92</v>
      </c>
      <c r="D61" s="30">
        <v>99</v>
      </c>
      <c r="E61" s="30">
        <v>96</v>
      </c>
      <c r="F61" s="30"/>
      <c r="G61" s="30"/>
      <c r="H61" s="30"/>
      <c r="I61" s="30">
        <v>40</v>
      </c>
      <c r="J61" s="31">
        <f>((AVERAGE(C61:H61))*72%)+I61*8%</f>
        <v>72.08</v>
      </c>
      <c r="K61" s="30">
        <v>79</v>
      </c>
      <c r="L61" s="30">
        <v>79</v>
      </c>
      <c r="M61" s="31">
        <f>(AVERAGE(K61:L61))*10%</f>
        <v>7.9</v>
      </c>
      <c r="N61" s="30">
        <v>99</v>
      </c>
      <c r="O61" s="30">
        <v>99</v>
      </c>
      <c r="P61" s="31">
        <f>(AVERAGE(N61:O61))*10%</f>
        <v>9.9</v>
      </c>
      <c r="Q61" s="30"/>
      <c r="R61" s="325" t="str">
        <f>IF(V61&lt;65,"BAJO",IF(V61&lt;=79,"BASICO",IF(V61&lt;=89,"ALTO",IF(V61&lt;=100,"SUPERIOR"))))</f>
        <v>SUPERIOR</v>
      </c>
      <c r="S61" s="326"/>
      <c r="T61" s="326"/>
      <c r="U61" s="337"/>
      <c r="V61" s="51">
        <f>J61+M61+P61</f>
        <v>89.88000000000001</v>
      </c>
      <c r="W61" s="10"/>
      <c r="X61" s="10"/>
    </row>
    <row r="62" spans="1:24" x14ac:dyDescent="0.25">
      <c r="A62" s="6">
        <v>2</v>
      </c>
      <c r="B62" s="67" t="s">
        <v>341</v>
      </c>
      <c r="C62" s="45">
        <v>65</v>
      </c>
      <c r="D62" s="8">
        <v>92</v>
      </c>
      <c r="E62" s="8">
        <v>29</v>
      </c>
      <c r="F62" s="8"/>
      <c r="G62" s="8"/>
      <c r="H62" s="8"/>
      <c r="I62" s="9">
        <v>40</v>
      </c>
      <c r="J62" s="15">
        <f t="shared" ref="J62:J104" si="5">((AVERAGE(C62:H62))*72%)+I62*8%</f>
        <v>47.84</v>
      </c>
      <c r="K62" s="8">
        <v>88</v>
      </c>
      <c r="L62" s="8">
        <v>88</v>
      </c>
      <c r="M62" s="15">
        <f t="shared" ref="M62:M104" si="6">(AVERAGE(K62:L62))*10%</f>
        <v>8.8000000000000007</v>
      </c>
      <c r="N62" s="8">
        <v>83</v>
      </c>
      <c r="O62" s="8">
        <v>83</v>
      </c>
      <c r="P62" s="15">
        <f t="shared" ref="P62:P104" si="7">(AVERAGE(N62:O62))*10%</f>
        <v>8.3000000000000007</v>
      </c>
      <c r="Q62" s="11"/>
      <c r="R62" s="201" t="str">
        <f t="shared" ref="R62:R104" si="8">IF(V62&lt;65,"BAJO",IF(V62&lt;=79,"BASICO",IF(V62&lt;=89,"ALTO",IF(V62&lt;=100,"SUPERIOR"))))</f>
        <v>BAJO</v>
      </c>
      <c r="S62" s="202"/>
      <c r="T62" s="202"/>
      <c r="U62" s="338"/>
      <c r="V62" s="51">
        <f t="shared" ref="V62:V104" si="9">J62+M62+P62</f>
        <v>64.94</v>
      </c>
      <c r="W62" s="10"/>
      <c r="X62" s="10"/>
    </row>
    <row r="63" spans="1:24" x14ac:dyDescent="0.25">
      <c r="A63" s="6">
        <v>3</v>
      </c>
      <c r="B63" s="67" t="s">
        <v>342</v>
      </c>
      <c r="C63" s="45">
        <v>26</v>
      </c>
      <c r="D63" s="8">
        <v>90</v>
      </c>
      <c r="E63" s="8">
        <v>92</v>
      </c>
      <c r="F63" s="8"/>
      <c r="G63" s="8"/>
      <c r="H63" s="8"/>
      <c r="I63" s="9">
        <v>40</v>
      </c>
      <c r="J63" s="15">
        <f t="shared" si="5"/>
        <v>53.12</v>
      </c>
      <c r="K63" s="8">
        <v>88</v>
      </c>
      <c r="L63" s="8">
        <v>88</v>
      </c>
      <c r="M63" s="15">
        <f t="shared" si="6"/>
        <v>8.8000000000000007</v>
      </c>
      <c r="N63" s="8">
        <v>82</v>
      </c>
      <c r="O63" s="8">
        <v>82</v>
      </c>
      <c r="P63" s="15">
        <f t="shared" si="7"/>
        <v>8.2000000000000011</v>
      </c>
      <c r="Q63" s="11"/>
      <c r="R63" s="201" t="str">
        <f t="shared" si="8"/>
        <v>BASICO</v>
      </c>
      <c r="S63" s="202"/>
      <c r="T63" s="202"/>
      <c r="U63" s="338"/>
      <c r="V63" s="51">
        <f t="shared" si="9"/>
        <v>70.12</v>
      </c>
      <c r="W63" s="10"/>
      <c r="X63" s="10"/>
    </row>
    <row r="64" spans="1:24" x14ac:dyDescent="0.25">
      <c r="A64" s="6">
        <v>4</v>
      </c>
      <c r="B64" s="125" t="s">
        <v>343</v>
      </c>
      <c r="C64" s="45">
        <v>59</v>
      </c>
      <c r="D64" s="8">
        <v>79</v>
      </c>
      <c r="E64" s="8">
        <v>67</v>
      </c>
      <c r="F64" s="8"/>
      <c r="G64" s="8"/>
      <c r="H64" s="8"/>
      <c r="I64" s="8">
        <v>40</v>
      </c>
      <c r="J64" s="15">
        <f t="shared" si="5"/>
        <v>52.4</v>
      </c>
      <c r="K64" s="8">
        <v>87</v>
      </c>
      <c r="L64" s="8">
        <v>87</v>
      </c>
      <c r="M64" s="15">
        <f t="shared" si="6"/>
        <v>8.7000000000000011</v>
      </c>
      <c r="N64" s="8">
        <v>90</v>
      </c>
      <c r="O64" s="8">
        <v>90</v>
      </c>
      <c r="P64" s="15">
        <f t="shared" si="7"/>
        <v>9</v>
      </c>
      <c r="Q64" s="11"/>
      <c r="R64" s="201" t="str">
        <f t="shared" si="8"/>
        <v>BASICO</v>
      </c>
      <c r="S64" s="202"/>
      <c r="T64" s="202"/>
      <c r="U64" s="338"/>
      <c r="V64" s="51">
        <f t="shared" si="9"/>
        <v>70.099999999999994</v>
      </c>
      <c r="W64" s="10"/>
      <c r="X64" s="10"/>
    </row>
    <row r="65" spans="1:24" x14ac:dyDescent="0.25">
      <c r="A65" s="6">
        <v>5</v>
      </c>
      <c r="B65" s="67" t="s">
        <v>322</v>
      </c>
      <c r="C65" s="45">
        <v>39</v>
      </c>
      <c r="D65" s="8">
        <v>30</v>
      </c>
      <c r="E65" s="8">
        <v>67</v>
      </c>
      <c r="F65" s="8"/>
      <c r="G65" s="8"/>
      <c r="H65" s="8"/>
      <c r="I65" s="8">
        <v>40</v>
      </c>
      <c r="J65" s="15">
        <f t="shared" si="5"/>
        <v>35.840000000000003</v>
      </c>
      <c r="K65" s="8">
        <v>69</v>
      </c>
      <c r="L65" s="8">
        <v>69</v>
      </c>
      <c r="M65" s="15">
        <f t="shared" si="6"/>
        <v>6.9</v>
      </c>
      <c r="N65" s="8">
        <v>74</v>
      </c>
      <c r="O65" s="8">
        <v>74</v>
      </c>
      <c r="P65" s="15">
        <f t="shared" si="7"/>
        <v>7.4</v>
      </c>
      <c r="Q65" s="10"/>
      <c r="R65" s="201" t="str">
        <f t="shared" si="8"/>
        <v>BAJO</v>
      </c>
      <c r="S65" s="202"/>
      <c r="T65" s="202"/>
      <c r="U65" s="338"/>
      <c r="V65" s="51">
        <f t="shared" si="9"/>
        <v>50.14</v>
      </c>
      <c r="W65" s="10"/>
      <c r="X65" s="10"/>
    </row>
    <row r="66" spans="1:24" x14ac:dyDescent="0.25">
      <c r="A66" s="6">
        <v>6</v>
      </c>
      <c r="B66" s="67" t="s">
        <v>323</v>
      </c>
      <c r="C66" s="45">
        <v>49</v>
      </c>
      <c r="D66" s="8">
        <v>74</v>
      </c>
      <c r="E66" s="8">
        <v>98</v>
      </c>
      <c r="F66" s="8"/>
      <c r="G66" s="8"/>
      <c r="H66" s="8"/>
      <c r="I66" s="8">
        <v>40</v>
      </c>
      <c r="J66" s="15">
        <f t="shared" si="5"/>
        <v>56.24</v>
      </c>
      <c r="K66" s="8">
        <v>86</v>
      </c>
      <c r="L66" s="8">
        <v>86</v>
      </c>
      <c r="M66" s="15">
        <f t="shared" si="6"/>
        <v>8.6</v>
      </c>
      <c r="N66" s="8">
        <v>97</v>
      </c>
      <c r="O66" s="8">
        <v>97</v>
      </c>
      <c r="P66" s="15">
        <f t="shared" si="7"/>
        <v>9.7000000000000011</v>
      </c>
      <c r="Q66" s="10"/>
      <c r="R66" s="201" t="str">
        <f t="shared" si="8"/>
        <v>BASICO</v>
      </c>
      <c r="S66" s="202"/>
      <c r="T66" s="202"/>
      <c r="U66" s="338"/>
      <c r="V66" s="51">
        <f t="shared" si="9"/>
        <v>74.540000000000006</v>
      </c>
      <c r="W66" s="10"/>
      <c r="X66" s="10"/>
    </row>
    <row r="67" spans="1:24" x14ac:dyDescent="0.25">
      <c r="A67" s="6">
        <v>7</v>
      </c>
      <c r="B67" s="67" t="s">
        <v>345</v>
      </c>
      <c r="C67" s="45">
        <v>58</v>
      </c>
      <c r="D67" s="8">
        <v>82</v>
      </c>
      <c r="E67" s="8">
        <v>85</v>
      </c>
      <c r="F67" s="8"/>
      <c r="G67" s="8"/>
      <c r="H67" s="8"/>
      <c r="I67" s="8">
        <v>40</v>
      </c>
      <c r="J67" s="15">
        <f t="shared" si="5"/>
        <v>57.2</v>
      </c>
      <c r="K67" s="8">
        <v>97</v>
      </c>
      <c r="L67" s="8">
        <v>97</v>
      </c>
      <c r="M67" s="15">
        <f t="shared" si="6"/>
        <v>9.7000000000000011</v>
      </c>
      <c r="N67" s="8">
        <v>81</v>
      </c>
      <c r="O67" s="8">
        <v>81</v>
      </c>
      <c r="P67" s="15">
        <f t="shared" si="7"/>
        <v>8.1</v>
      </c>
      <c r="Q67" s="10"/>
      <c r="R67" s="201" t="str">
        <f t="shared" si="8"/>
        <v>BASICO</v>
      </c>
      <c r="S67" s="202"/>
      <c r="T67" s="202"/>
      <c r="U67" s="338"/>
      <c r="V67" s="51">
        <f t="shared" si="9"/>
        <v>75</v>
      </c>
      <c r="W67" s="10"/>
      <c r="X67" s="10"/>
    </row>
    <row r="68" spans="1:24" x14ac:dyDescent="0.25">
      <c r="A68" s="6">
        <v>8</v>
      </c>
      <c r="B68" s="67" t="s">
        <v>759</v>
      </c>
      <c r="C68" s="45">
        <v>100</v>
      </c>
      <c r="D68" s="8">
        <v>100</v>
      </c>
      <c r="E68" s="8">
        <v>100</v>
      </c>
      <c r="F68" s="8"/>
      <c r="G68" s="8"/>
      <c r="H68" s="8"/>
      <c r="I68" s="8">
        <v>40</v>
      </c>
      <c r="J68" s="15">
        <f t="shared" si="5"/>
        <v>75.2</v>
      </c>
      <c r="K68" s="8">
        <v>65</v>
      </c>
      <c r="L68" s="8">
        <v>65</v>
      </c>
      <c r="M68" s="15">
        <f t="shared" si="6"/>
        <v>6.5</v>
      </c>
      <c r="N68" s="8">
        <v>65</v>
      </c>
      <c r="O68" s="8">
        <v>65</v>
      </c>
      <c r="P68" s="15">
        <f t="shared" si="7"/>
        <v>6.5</v>
      </c>
      <c r="Q68" s="10"/>
      <c r="R68" s="201" t="str">
        <f t="shared" si="8"/>
        <v>ALTO</v>
      </c>
      <c r="S68" s="202"/>
      <c r="T68" s="202"/>
      <c r="U68" s="338"/>
      <c r="V68" s="51">
        <f t="shared" si="9"/>
        <v>88.2</v>
      </c>
      <c r="W68" s="10"/>
      <c r="X68" s="10"/>
    </row>
    <row r="69" spans="1:24" x14ac:dyDescent="0.25">
      <c r="A69" s="6">
        <v>9</v>
      </c>
      <c r="B69" s="67" t="s">
        <v>395</v>
      </c>
      <c r="C69" s="45">
        <v>100</v>
      </c>
      <c r="D69" s="8">
        <v>100</v>
      </c>
      <c r="E69" s="8">
        <v>100</v>
      </c>
      <c r="F69" s="8"/>
      <c r="G69" s="8"/>
      <c r="H69" s="8"/>
      <c r="I69" s="8">
        <v>40</v>
      </c>
      <c r="J69" s="15">
        <f t="shared" si="5"/>
        <v>75.2</v>
      </c>
      <c r="K69" s="8">
        <v>65</v>
      </c>
      <c r="L69" s="8">
        <v>65</v>
      </c>
      <c r="M69" s="15">
        <f t="shared" si="6"/>
        <v>6.5</v>
      </c>
      <c r="N69" s="8">
        <v>65</v>
      </c>
      <c r="O69" s="8">
        <v>65</v>
      </c>
      <c r="P69" s="15">
        <f t="shared" si="7"/>
        <v>6.5</v>
      </c>
      <c r="Q69" s="10"/>
      <c r="R69" s="201" t="str">
        <f t="shared" si="8"/>
        <v>ALTO</v>
      </c>
      <c r="S69" s="202"/>
      <c r="T69" s="202"/>
      <c r="U69" s="338"/>
      <c r="V69" s="51">
        <f t="shared" si="9"/>
        <v>88.2</v>
      </c>
      <c r="W69" s="10"/>
      <c r="X69" s="10"/>
    </row>
    <row r="70" spans="1:24" x14ac:dyDescent="0.25">
      <c r="A70" s="6">
        <v>10</v>
      </c>
      <c r="B70" s="67" t="s">
        <v>346</v>
      </c>
      <c r="C70" s="45">
        <v>100</v>
      </c>
      <c r="D70" s="8">
        <v>100</v>
      </c>
      <c r="E70" s="8">
        <v>100</v>
      </c>
      <c r="F70" s="8"/>
      <c r="G70" s="8"/>
      <c r="H70" s="8"/>
      <c r="I70" s="8">
        <v>40</v>
      </c>
      <c r="J70" s="15">
        <f t="shared" si="5"/>
        <v>75.2</v>
      </c>
      <c r="K70" s="8">
        <v>65</v>
      </c>
      <c r="L70" s="8">
        <v>65</v>
      </c>
      <c r="M70" s="15">
        <f t="shared" si="6"/>
        <v>6.5</v>
      </c>
      <c r="N70" s="8">
        <v>65</v>
      </c>
      <c r="O70" s="8">
        <v>65</v>
      </c>
      <c r="P70" s="15">
        <f t="shared" si="7"/>
        <v>6.5</v>
      </c>
      <c r="Q70" s="10"/>
      <c r="R70" s="201" t="str">
        <f t="shared" si="8"/>
        <v>ALTO</v>
      </c>
      <c r="S70" s="202"/>
      <c r="T70" s="202"/>
      <c r="U70" s="338"/>
      <c r="V70" s="51">
        <f t="shared" si="9"/>
        <v>88.2</v>
      </c>
      <c r="W70" s="10"/>
      <c r="X70" s="10"/>
    </row>
    <row r="71" spans="1:24" x14ac:dyDescent="0.25">
      <c r="A71" s="6">
        <v>11</v>
      </c>
      <c r="B71" s="67" t="s">
        <v>347</v>
      </c>
      <c r="C71" s="45">
        <v>20</v>
      </c>
      <c r="D71" s="8">
        <v>27</v>
      </c>
      <c r="E71" s="8">
        <v>72</v>
      </c>
      <c r="F71" s="8"/>
      <c r="G71" s="8"/>
      <c r="H71" s="8"/>
      <c r="I71" s="8">
        <v>40</v>
      </c>
      <c r="J71" s="15">
        <f t="shared" si="5"/>
        <v>31.759999999999998</v>
      </c>
      <c r="K71" s="8">
        <v>100</v>
      </c>
      <c r="L71" s="8">
        <v>100</v>
      </c>
      <c r="M71" s="15">
        <f t="shared" si="6"/>
        <v>10</v>
      </c>
      <c r="N71" s="8">
        <v>87</v>
      </c>
      <c r="O71" s="8">
        <v>87</v>
      </c>
      <c r="P71" s="15">
        <f t="shared" si="7"/>
        <v>8.7000000000000011</v>
      </c>
      <c r="Q71" s="10"/>
      <c r="R71" s="201" t="str">
        <f t="shared" si="8"/>
        <v>BAJO</v>
      </c>
      <c r="S71" s="202"/>
      <c r="T71" s="202"/>
      <c r="U71" s="338"/>
      <c r="V71" s="51">
        <f t="shared" si="9"/>
        <v>50.46</v>
      </c>
      <c r="W71" s="10"/>
      <c r="X71" s="10"/>
    </row>
    <row r="72" spans="1:24" x14ac:dyDescent="0.25">
      <c r="A72" s="6">
        <v>12</v>
      </c>
      <c r="B72" s="67" t="s">
        <v>348</v>
      </c>
      <c r="C72" s="45">
        <v>100</v>
      </c>
      <c r="D72" s="8">
        <v>100</v>
      </c>
      <c r="E72" s="8">
        <v>100</v>
      </c>
      <c r="F72" s="8"/>
      <c r="G72" s="8"/>
      <c r="H72" s="8"/>
      <c r="I72" s="8">
        <v>60</v>
      </c>
      <c r="J72" s="15">
        <f t="shared" si="5"/>
        <v>76.8</v>
      </c>
      <c r="K72" s="8">
        <v>65</v>
      </c>
      <c r="L72" s="8">
        <v>65</v>
      </c>
      <c r="M72" s="15">
        <f t="shared" si="6"/>
        <v>6.5</v>
      </c>
      <c r="N72" s="8">
        <v>65</v>
      </c>
      <c r="O72" s="8">
        <v>65</v>
      </c>
      <c r="P72" s="15">
        <f t="shared" si="7"/>
        <v>6.5</v>
      </c>
      <c r="Q72" s="10"/>
      <c r="R72" s="201" t="str">
        <f t="shared" si="8"/>
        <v>SUPERIOR</v>
      </c>
      <c r="S72" s="202"/>
      <c r="T72" s="202"/>
      <c r="U72" s="338"/>
      <c r="V72" s="51">
        <f t="shared" si="9"/>
        <v>89.8</v>
      </c>
      <c r="W72" s="10"/>
      <c r="X72" s="10"/>
    </row>
    <row r="73" spans="1:24" x14ac:dyDescent="0.25">
      <c r="A73" s="6">
        <v>13</v>
      </c>
      <c r="B73" s="67" t="s">
        <v>349</v>
      </c>
      <c r="C73" s="45">
        <v>94</v>
      </c>
      <c r="D73" s="8">
        <v>74</v>
      </c>
      <c r="E73" s="8">
        <v>48</v>
      </c>
      <c r="F73" s="8"/>
      <c r="G73" s="8"/>
      <c r="H73" s="8"/>
      <c r="I73" s="8">
        <v>60</v>
      </c>
      <c r="J73" s="15">
        <f t="shared" si="5"/>
        <v>56.639999999999993</v>
      </c>
      <c r="K73" s="8">
        <v>96</v>
      </c>
      <c r="L73" s="8">
        <v>96</v>
      </c>
      <c r="M73" s="15">
        <f t="shared" si="6"/>
        <v>9.6000000000000014</v>
      </c>
      <c r="N73" s="8">
        <v>90</v>
      </c>
      <c r="O73" s="8">
        <v>90</v>
      </c>
      <c r="P73" s="15">
        <f t="shared" si="7"/>
        <v>9</v>
      </c>
      <c r="Q73" s="10"/>
      <c r="R73" s="201" t="str">
        <f t="shared" si="8"/>
        <v>BASICO</v>
      </c>
      <c r="S73" s="202"/>
      <c r="T73" s="202"/>
      <c r="U73" s="338"/>
      <c r="V73" s="51">
        <f t="shared" si="9"/>
        <v>75.239999999999995</v>
      </c>
      <c r="W73" s="10"/>
      <c r="X73" s="10"/>
    </row>
    <row r="74" spans="1:24" x14ac:dyDescent="0.25">
      <c r="A74" s="6">
        <v>14</v>
      </c>
      <c r="B74" s="67" t="s">
        <v>350</v>
      </c>
      <c r="C74" s="45">
        <v>88</v>
      </c>
      <c r="D74" s="8">
        <v>90</v>
      </c>
      <c r="E74" s="8">
        <v>73</v>
      </c>
      <c r="F74" s="8"/>
      <c r="G74" s="8"/>
      <c r="H74" s="8"/>
      <c r="I74" s="8">
        <v>40</v>
      </c>
      <c r="J74" s="15">
        <f t="shared" si="5"/>
        <v>63.440000000000005</v>
      </c>
      <c r="K74" s="8">
        <v>80</v>
      </c>
      <c r="L74" s="8">
        <v>80</v>
      </c>
      <c r="M74" s="15">
        <f t="shared" si="6"/>
        <v>8</v>
      </c>
      <c r="N74" s="8">
        <v>85</v>
      </c>
      <c r="O74" s="8">
        <v>85</v>
      </c>
      <c r="P74" s="15">
        <f t="shared" si="7"/>
        <v>8.5</v>
      </c>
      <c r="Q74" s="10"/>
      <c r="R74" s="201" t="str">
        <f t="shared" si="8"/>
        <v>ALTO</v>
      </c>
      <c r="S74" s="202"/>
      <c r="T74" s="202"/>
      <c r="U74" s="338"/>
      <c r="V74" s="51">
        <f t="shared" si="9"/>
        <v>79.94</v>
      </c>
      <c r="W74" s="10"/>
      <c r="X74" s="10"/>
    </row>
    <row r="75" spans="1:24" x14ac:dyDescent="0.25">
      <c r="A75" s="6">
        <v>15</v>
      </c>
      <c r="B75" s="67" t="s">
        <v>351</v>
      </c>
      <c r="C75" s="45">
        <v>100</v>
      </c>
      <c r="D75" s="8">
        <v>100</v>
      </c>
      <c r="E75" s="8">
        <v>100</v>
      </c>
      <c r="F75" s="8"/>
      <c r="G75" s="8"/>
      <c r="H75" s="8"/>
      <c r="I75" s="8">
        <v>40</v>
      </c>
      <c r="J75" s="15">
        <f t="shared" si="5"/>
        <v>75.2</v>
      </c>
      <c r="K75" s="8">
        <v>65</v>
      </c>
      <c r="L75" s="8">
        <v>65</v>
      </c>
      <c r="M75" s="15">
        <f t="shared" si="6"/>
        <v>6.5</v>
      </c>
      <c r="N75" s="8">
        <v>65</v>
      </c>
      <c r="O75" s="8">
        <v>65</v>
      </c>
      <c r="P75" s="15">
        <f t="shared" si="7"/>
        <v>6.5</v>
      </c>
      <c r="Q75" s="10"/>
      <c r="R75" s="201" t="str">
        <f t="shared" si="8"/>
        <v>ALTO</v>
      </c>
      <c r="S75" s="202"/>
      <c r="T75" s="202"/>
      <c r="U75" s="338"/>
      <c r="V75" s="51">
        <f t="shared" si="9"/>
        <v>88.2</v>
      </c>
      <c r="W75" s="10"/>
      <c r="X75" s="10"/>
    </row>
    <row r="76" spans="1:24" ht="15.75" customHeight="1" x14ac:dyDescent="0.25">
      <c r="A76" s="6">
        <v>16</v>
      </c>
      <c r="B76" s="67" t="s">
        <v>760</v>
      </c>
      <c r="C76" s="45">
        <v>85</v>
      </c>
      <c r="D76" s="8">
        <v>95</v>
      </c>
      <c r="E76" s="8">
        <v>77</v>
      </c>
      <c r="F76" s="8"/>
      <c r="G76" s="8"/>
      <c r="H76" s="8"/>
      <c r="I76" s="8">
        <v>40</v>
      </c>
      <c r="J76" s="15">
        <f t="shared" si="5"/>
        <v>64.88</v>
      </c>
      <c r="K76" s="8">
        <v>85</v>
      </c>
      <c r="L76" s="8">
        <v>85</v>
      </c>
      <c r="M76" s="15">
        <f t="shared" si="6"/>
        <v>8.5</v>
      </c>
      <c r="N76" s="8">
        <v>83</v>
      </c>
      <c r="O76" s="8">
        <v>83</v>
      </c>
      <c r="P76" s="15">
        <f t="shared" si="7"/>
        <v>8.3000000000000007</v>
      </c>
      <c r="Q76" s="10"/>
      <c r="R76" s="201" t="str">
        <f t="shared" si="8"/>
        <v>ALTO</v>
      </c>
      <c r="S76" s="202"/>
      <c r="T76" s="202"/>
      <c r="U76" s="338"/>
      <c r="V76" s="51">
        <f t="shared" si="9"/>
        <v>81.679999999999993</v>
      </c>
      <c r="W76" s="10"/>
      <c r="X76" s="10"/>
    </row>
    <row r="77" spans="1:24" ht="15.75" customHeight="1" x14ac:dyDescent="0.25">
      <c r="A77" s="6">
        <v>17</v>
      </c>
      <c r="B77" s="67" t="s">
        <v>352</v>
      </c>
      <c r="C77" s="45">
        <v>41</v>
      </c>
      <c r="D77" s="8">
        <v>53</v>
      </c>
      <c r="E77" s="8">
        <v>31</v>
      </c>
      <c r="F77" s="8"/>
      <c r="G77" s="8"/>
      <c r="H77" s="8"/>
      <c r="I77" s="13">
        <v>40</v>
      </c>
      <c r="J77" s="15">
        <f t="shared" si="5"/>
        <v>33.199999999999996</v>
      </c>
      <c r="K77" s="8">
        <v>81</v>
      </c>
      <c r="L77" s="8">
        <v>81</v>
      </c>
      <c r="M77" s="15">
        <f t="shared" si="6"/>
        <v>8.1</v>
      </c>
      <c r="N77" s="8">
        <v>85</v>
      </c>
      <c r="O77" s="8">
        <v>85</v>
      </c>
      <c r="P77" s="15">
        <f t="shared" si="7"/>
        <v>8.5</v>
      </c>
      <c r="Q77" s="10"/>
      <c r="R77" s="201" t="str">
        <f t="shared" si="8"/>
        <v>BAJO</v>
      </c>
      <c r="S77" s="202"/>
      <c r="T77" s="202"/>
      <c r="U77" s="338"/>
      <c r="V77" s="51">
        <f t="shared" si="9"/>
        <v>49.8</v>
      </c>
      <c r="W77" s="10"/>
      <c r="X77" s="10"/>
    </row>
    <row r="78" spans="1:24" ht="15.75" customHeight="1" x14ac:dyDescent="0.25">
      <c r="A78" s="6">
        <v>18</v>
      </c>
      <c r="B78" s="67" t="s">
        <v>413</v>
      </c>
      <c r="C78" s="45">
        <v>23</v>
      </c>
      <c r="D78" s="8">
        <v>84</v>
      </c>
      <c r="E78" s="8">
        <v>26</v>
      </c>
      <c r="F78" s="8"/>
      <c r="G78" s="8"/>
      <c r="H78" s="8"/>
      <c r="I78" s="8">
        <v>40</v>
      </c>
      <c r="J78" s="15">
        <f t="shared" si="5"/>
        <v>35.120000000000005</v>
      </c>
      <c r="K78" s="8">
        <v>65</v>
      </c>
      <c r="L78" s="8">
        <v>65</v>
      </c>
      <c r="M78" s="15">
        <f t="shared" si="6"/>
        <v>6.5</v>
      </c>
      <c r="N78" s="8">
        <v>81</v>
      </c>
      <c r="O78" s="8">
        <v>81</v>
      </c>
      <c r="P78" s="15">
        <f t="shared" si="7"/>
        <v>8.1</v>
      </c>
      <c r="Q78" s="10"/>
      <c r="R78" s="201" t="str">
        <f t="shared" si="8"/>
        <v>BAJO</v>
      </c>
      <c r="S78" s="202"/>
      <c r="T78" s="202"/>
      <c r="U78" s="338"/>
      <c r="V78" s="51">
        <f t="shared" si="9"/>
        <v>49.720000000000006</v>
      </c>
      <c r="W78" s="10"/>
      <c r="X78" s="10"/>
    </row>
    <row r="79" spans="1:24" ht="15.75" customHeight="1" x14ac:dyDescent="0.25">
      <c r="A79" s="6">
        <v>19</v>
      </c>
      <c r="B79" s="67" t="s">
        <v>353</v>
      </c>
      <c r="C79" s="45">
        <v>39</v>
      </c>
      <c r="D79" s="8">
        <v>68</v>
      </c>
      <c r="E79" s="8">
        <v>81</v>
      </c>
      <c r="F79" s="8"/>
      <c r="G79" s="8"/>
      <c r="H79" s="8"/>
      <c r="I79" s="8">
        <v>40</v>
      </c>
      <c r="J79" s="15">
        <f t="shared" si="5"/>
        <v>48.32</v>
      </c>
      <c r="K79" s="8">
        <v>83</v>
      </c>
      <c r="L79" s="8">
        <v>83</v>
      </c>
      <c r="M79" s="15">
        <f t="shared" si="6"/>
        <v>8.3000000000000007</v>
      </c>
      <c r="N79" s="8">
        <v>82</v>
      </c>
      <c r="O79" s="8">
        <v>82</v>
      </c>
      <c r="P79" s="15">
        <f t="shared" si="7"/>
        <v>8.2000000000000011</v>
      </c>
      <c r="Q79" s="10"/>
      <c r="R79" s="201" t="str">
        <f t="shared" si="8"/>
        <v>BAJO</v>
      </c>
      <c r="S79" s="202"/>
      <c r="T79" s="202"/>
      <c r="U79" s="338"/>
      <c r="V79" s="51">
        <f t="shared" si="9"/>
        <v>64.820000000000007</v>
      </c>
      <c r="W79" s="10"/>
      <c r="X79" s="10"/>
    </row>
    <row r="80" spans="1:24" ht="15.75" customHeight="1" x14ac:dyDescent="0.25">
      <c r="A80" s="6">
        <v>20</v>
      </c>
      <c r="B80" s="67" t="s">
        <v>355</v>
      </c>
      <c r="C80" s="45">
        <v>88</v>
      </c>
      <c r="D80" s="8">
        <v>74</v>
      </c>
      <c r="E80" s="8">
        <v>67</v>
      </c>
      <c r="F80" s="8"/>
      <c r="G80" s="8"/>
      <c r="H80" s="8"/>
      <c r="I80" s="8">
        <v>40</v>
      </c>
      <c r="J80" s="15">
        <f t="shared" si="5"/>
        <v>58.16</v>
      </c>
      <c r="K80" s="8">
        <v>81</v>
      </c>
      <c r="L80" s="8">
        <v>81</v>
      </c>
      <c r="M80" s="15">
        <f t="shared" si="6"/>
        <v>8.1</v>
      </c>
      <c r="N80" s="8">
        <v>90</v>
      </c>
      <c r="O80" s="8">
        <v>90</v>
      </c>
      <c r="P80" s="15">
        <f t="shared" si="7"/>
        <v>9</v>
      </c>
      <c r="Q80" s="10"/>
      <c r="R80" s="201" t="str">
        <f t="shared" si="8"/>
        <v>BASICO</v>
      </c>
      <c r="S80" s="202"/>
      <c r="T80" s="202"/>
      <c r="U80" s="338"/>
      <c r="V80" s="51">
        <f t="shared" si="9"/>
        <v>75.259999999999991</v>
      </c>
      <c r="W80" s="10"/>
      <c r="X80" s="10"/>
    </row>
    <row r="81" spans="1:24" ht="15.75" customHeight="1" x14ac:dyDescent="0.25">
      <c r="A81" s="6">
        <v>21</v>
      </c>
      <c r="B81" s="67" t="s">
        <v>898</v>
      </c>
      <c r="C81" s="45">
        <v>74</v>
      </c>
      <c r="D81" s="8">
        <v>37</v>
      </c>
      <c r="E81" s="8">
        <v>63</v>
      </c>
      <c r="F81" s="8"/>
      <c r="G81" s="8"/>
      <c r="H81" s="8"/>
      <c r="I81" s="8">
        <v>40</v>
      </c>
      <c r="J81" s="15">
        <f t="shared" si="5"/>
        <v>44.96</v>
      </c>
      <c r="K81" s="8">
        <v>89</v>
      </c>
      <c r="L81" s="8">
        <v>89</v>
      </c>
      <c r="M81" s="15">
        <f t="shared" si="6"/>
        <v>8.9</v>
      </c>
      <c r="N81" s="8">
        <v>86</v>
      </c>
      <c r="O81" s="8">
        <v>86</v>
      </c>
      <c r="P81" s="15">
        <f t="shared" si="7"/>
        <v>8.6</v>
      </c>
      <c r="Q81" s="10"/>
      <c r="R81" s="201" t="str">
        <f t="shared" si="8"/>
        <v>BAJO</v>
      </c>
      <c r="S81" s="202"/>
      <c r="T81" s="202"/>
      <c r="U81" s="338"/>
      <c r="V81" s="51">
        <f t="shared" si="9"/>
        <v>62.46</v>
      </c>
      <c r="W81" s="10"/>
      <c r="X81" s="10"/>
    </row>
    <row r="82" spans="1:24" ht="15.75" customHeight="1" x14ac:dyDescent="0.25">
      <c r="A82" s="6">
        <v>22</v>
      </c>
      <c r="B82" s="67" t="s">
        <v>178</v>
      </c>
      <c r="C82" s="45">
        <v>79</v>
      </c>
      <c r="D82" s="8">
        <v>75</v>
      </c>
      <c r="E82" s="8">
        <v>23</v>
      </c>
      <c r="F82" s="8"/>
      <c r="G82" s="8"/>
      <c r="H82" s="8"/>
      <c r="I82" s="8">
        <v>40</v>
      </c>
      <c r="J82" s="15">
        <f t="shared" si="5"/>
        <v>45.68</v>
      </c>
      <c r="K82" s="8">
        <v>80</v>
      </c>
      <c r="L82" s="8">
        <v>80</v>
      </c>
      <c r="M82" s="15">
        <f t="shared" si="6"/>
        <v>8</v>
      </c>
      <c r="N82" s="8">
        <v>98</v>
      </c>
      <c r="O82" s="8">
        <v>98</v>
      </c>
      <c r="P82" s="15">
        <f t="shared" si="7"/>
        <v>9.8000000000000007</v>
      </c>
      <c r="Q82" s="10"/>
      <c r="R82" s="201" t="str">
        <f t="shared" si="8"/>
        <v>BAJO</v>
      </c>
      <c r="S82" s="202"/>
      <c r="T82" s="202"/>
      <c r="U82" s="338"/>
      <c r="V82" s="51">
        <f t="shared" si="9"/>
        <v>63.480000000000004</v>
      </c>
      <c r="W82" s="10"/>
      <c r="X82" s="10"/>
    </row>
    <row r="83" spans="1:24" ht="15.75" customHeight="1" x14ac:dyDescent="0.25">
      <c r="A83" s="6">
        <v>23</v>
      </c>
      <c r="B83" s="67" t="s">
        <v>761</v>
      </c>
      <c r="C83" s="45">
        <v>91</v>
      </c>
      <c r="D83" s="8">
        <v>60</v>
      </c>
      <c r="E83" s="8">
        <v>97</v>
      </c>
      <c r="F83" s="8"/>
      <c r="G83" s="8"/>
      <c r="H83" s="8"/>
      <c r="I83" s="8">
        <v>40</v>
      </c>
      <c r="J83" s="15">
        <f t="shared" si="5"/>
        <v>62.720000000000006</v>
      </c>
      <c r="K83" s="8">
        <v>87</v>
      </c>
      <c r="L83" s="8">
        <v>87</v>
      </c>
      <c r="M83" s="15">
        <f t="shared" si="6"/>
        <v>8.7000000000000011</v>
      </c>
      <c r="N83" s="8">
        <v>82</v>
      </c>
      <c r="O83" s="8">
        <v>82</v>
      </c>
      <c r="P83" s="15">
        <f t="shared" si="7"/>
        <v>8.2000000000000011</v>
      </c>
      <c r="Q83" s="10"/>
      <c r="R83" s="201" t="str">
        <f t="shared" si="8"/>
        <v>ALTO</v>
      </c>
      <c r="S83" s="202"/>
      <c r="T83" s="202"/>
      <c r="U83" s="338"/>
      <c r="V83" s="51">
        <f t="shared" si="9"/>
        <v>79.62</v>
      </c>
      <c r="W83" s="10"/>
      <c r="X83" s="10"/>
    </row>
    <row r="84" spans="1:24" ht="15.75" customHeight="1" x14ac:dyDescent="0.25">
      <c r="A84" s="6">
        <v>24</v>
      </c>
      <c r="B84" s="67" t="s">
        <v>356</v>
      </c>
      <c r="C84" s="45">
        <v>22</v>
      </c>
      <c r="D84" s="8">
        <v>57</v>
      </c>
      <c r="E84" s="8">
        <v>37</v>
      </c>
      <c r="F84" s="8"/>
      <c r="G84" s="8"/>
      <c r="H84" s="8"/>
      <c r="I84" s="8">
        <v>60</v>
      </c>
      <c r="J84" s="15">
        <f t="shared" si="5"/>
        <v>32.639999999999993</v>
      </c>
      <c r="K84" s="8">
        <v>83</v>
      </c>
      <c r="L84" s="8">
        <v>83</v>
      </c>
      <c r="M84" s="15">
        <f t="shared" si="6"/>
        <v>8.3000000000000007</v>
      </c>
      <c r="N84" s="8">
        <v>89</v>
      </c>
      <c r="O84" s="8">
        <v>89</v>
      </c>
      <c r="P84" s="15">
        <f t="shared" si="7"/>
        <v>8.9</v>
      </c>
      <c r="Q84" s="10"/>
      <c r="R84" s="201" t="str">
        <f t="shared" si="8"/>
        <v>BAJO</v>
      </c>
      <c r="S84" s="202"/>
      <c r="T84" s="202"/>
      <c r="U84" s="338"/>
      <c r="V84" s="51">
        <f t="shared" si="9"/>
        <v>49.839999999999996</v>
      </c>
      <c r="W84" s="10"/>
      <c r="X84" s="10"/>
    </row>
    <row r="85" spans="1:24" ht="15.75" customHeight="1" x14ac:dyDescent="0.25">
      <c r="A85" s="6">
        <v>25</v>
      </c>
      <c r="B85" s="67" t="s">
        <v>252</v>
      </c>
      <c r="C85" s="45">
        <v>45</v>
      </c>
      <c r="D85" s="8">
        <v>94</v>
      </c>
      <c r="E85" s="8">
        <v>82</v>
      </c>
      <c r="F85" s="8"/>
      <c r="G85" s="8"/>
      <c r="H85" s="8"/>
      <c r="I85" s="8">
        <v>40</v>
      </c>
      <c r="J85" s="15">
        <f t="shared" si="5"/>
        <v>56.24</v>
      </c>
      <c r="K85" s="8">
        <v>89</v>
      </c>
      <c r="L85" s="8">
        <v>89</v>
      </c>
      <c r="M85" s="15">
        <f t="shared" si="6"/>
        <v>8.9</v>
      </c>
      <c r="N85" s="8">
        <v>95</v>
      </c>
      <c r="O85" s="8">
        <v>95</v>
      </c>
      <c r="P85" s="15">
        <f t="shared" si="7"/>
        <v>9.5</v>
      </c>
      <c r="Q85" s="10"/>
      <c r="R85" s="201" t="str">
        <f t="shared" si="8"/>
        <v>BASICO</v>
      </c>
      <c r="S85" s="202"/>
      <c r="T85" s="202"/>
      <c r="U85" s="338"/>
      <c r="V85" s="51">
        <f t="shared" si="9"/>
        <v>74.64</v>
      </c>
      <c r="W85" s="10"/>
      <c r="X85" s="10"/>
    </row>
    <row r="86" spans="1:24" ht="15.75" customHeight="1" x14ac:dyDescent="0.25">
      <c r="A86" s="6">
        <v>26</v>
      </c>
      <c r="B86" s="67" t="s">
        <v>357</v>
      </c>
      <c r="C86" s="45">
        <v>100</v>
      </c>
      <c r="D86" s="8">
        <v>95</v>
      </c>
      <c r="E86" s="8">
        <v>62</v>
      </c>
      <c r="F86" s="8"/>
      <c r="G86" s="8"/>
      <c r="H86" s="8"/>
      <c r="I86" s="8">
        <v>40</v>
      </c>
      <c r="J86" s="15">
        <f t="shared" si="5"/>
        <v>64.88</v>
      </c>
      <c r="K86" s="8">
        <v>100</v>
      </c>
      <c r="L86" s="8">
        <v>100</v>
      </c>
      <c r="M86" s="15">
        <f t="shared" si="6"/>
        <v>10</v>
      </c>
      <c r="N86" s="8">
        <v>97</v>
      </c>
      <c r="O86" s="8">
        <v>97</v>
      </c>
      <c r="P86" s="15">
        <f t="shared" si="7"/>
        <v>9.7000000000000011</v>
      </c>
      <c r="Q86" s="10"/>
      <c r="R86" s="201" t="str">
        <f t="shared" si="8"/>
        <v>ALTO</v>
      </c>
      <c r="S86" s="202"/>
      <c r="T86" s="202"/>
      <c r="U86" s="338"/>
      <c r="V86" s="51">
        <f t="shared" si="9"/>
        <v>84.58</v>
      </c>
      <c r="W86" s="10"/>
      <c r="X86" s="10"/>
    </row>
    <row r="87" spans="1:24" ht="15.75" customHeight="1" x14ac:dyDescent="0.25">
      <c r="A87" s="6">
        <v>27</v>
      </c>
      <c r="B87" s="67" t="s">
        <v>358</v>
      </c>
      <c r="C87" s="45">
        <v>91</v>
      </c>
      <c r="D87" s="8">
        <v>48</v>
      </c>
      <c r="E87" s="8">
        <v>71</v>
      </c>
      <c r="F87" s="8"/>
      <c r="G87" s="8"/>
      <c r="H87" s="8"/>
      <c r="I87" s="8">
        <v>40</v>
      </c>
      <c r="J87" s="15">
        <f t="shared" si="5"/>
        <v>53.6</v>
      </c>
      <c r="K87" s="8">
        <v>81</v>
      </c>
      <c r="L87" s="8">
        <v>81</v>
      </c>
      <c r="M87" s="15">
        <f t="shared" si="6"/>
        <v>8.1</v>
      </c>
      <c r="N87" s="8">
        <v>83</v>
      </c>
      <c r="O87" s="8">
        <v>83</v>
      </c>
      <c r="P87" s="15">
        <f t="shared" si="7"/>
        <v>8.3000000000000007</v>
      </c>
      <c r="Q87" s="10"/>
      <c r="R87" s="201" t="str">
        <f t="shared" si="8"/>
        <v>BASICO</v>
      </c>
      <c r="S87" s="202"/>
      <c r="T87" s="202"/>
      <c r="U87" s="338"/>
      <c r="V87" s="51">
        <f t="shared" si="9"/>
        <v>70</v>
      </c>
      <c r="W87" s="10"/>
      <c r="X87" s="10"/>
    </row>
    <row r="88" spans="1:24" ht="15.75" customHeight="1" x14ac:dyDescent="0.25">
      <c r="A88" s="6">
        <v>28</v>
      </c>
      <c r="B88" s="67" t="s">
        <v>359</v>
      </c>
      <c r="C88" s="45">
        <v>21</v>
      </c>
      <c r="D88" s="8">
        <v>61</v>
      </c>
      <c r="E88" s="8">
        <v>22</v>
      </c>
      <c r="F88" s="8"/>
      <c r="G88" s="8"/>
      <c r="H88" s="8"/>
      <c r="I88" s="8">
        <v>40</v>
      </c>
      <c r="J88" s="15">
        <f t="shared" si="5"/>
        <v>28.159999999999997</v>
      </c>
      <c r="K88" s="8">
        <v>87</v>
      </c>
      <c r="L88" s="8">
        <v>87</v>
      </c>
      <c r="M88" s="15">
        <f t="shared" si="6"/>
        <v>8.7000000000000011</v>
      </c>
      <c r="N88" s="8">
        <v>84</v>
      </c>
      <c r="O88" s="8">
        <v>84</v>
      </c>
      <c r="P88" s="15">
        <f t="shared" si="7"/>
        <v>8.4</v>
      </c>
      <c r="Q88" s="10"/>
      <c r="R88" s="201" t="str">
        <f t="shared" si="8"/>
        <v>BAJO</v>
      </c>
      <c r="S88" s="202"/>
      <c r="T88" s="202"/>
      <c r="U88" s="338"/>
      <c r="V88" s="51">
        <f t="shared" si="9"/>
        <v>45.26</v>
      </c>
      <c r="W88" s="10"/>
      <c r="X88" s="10"/>
    </row>
    <row r="89" spans="1:24" ht="15.75" customHeight="1" x14ac:dyDescent="0.25">
      <c r="A89" s="6">
        <v>29</v>
      </c>
      <c r="B89" s="67" t="s">
        <v>762</v>
      </c>
      <c r="C89" s="45">
        <v>51</v>
      </c>
      <c r="D89" s="8">
        <v>39</v>
      </c>
      <c r="E89" s="8">
        <v>43</v>
      </c>
      <c r="F89" s="8"/>
      <c r="G89" s="8"/>
      <c r="H89" s="8"/>
      <c r="I89" s="8">
        <v>40</v>
      </c>
      <c r="J89" s="15">
        <f t="shared" si="5"/>
        <v>35.120000000000005</v>
      </c>
      <c r="K89" s="8">
        <v>68</v>
      </c>
      <c r="L89" s="8">
        <v>68</v>
      </c>
      <c r="M89" s="15">
        <f t="shared" si="6"/>
        <v>6.8000000000000007</v>
      </c>
      <c r="N89" s="8">
        <v>77</v>
      </c>
      <c r="O89" s="8">
        <v>77</v>
      </c>
      <c r="P89" s="15">
        <f t="shared" si="7"/>
        <v>7.7</v>
      </c>
      <c r="Q89" s="10"/>
      <c r="R89" s="201" t="str">
        <f t="shared" si="8"/>
        <v>BAJO</v>
      </c>
      <c r="S89" s="202"/>
      <c r="T89" s="202"/>
      <c r="U89" s="338"/>
      <c r="V89" s="51">
        <f t="shared" si="9"/>
        <v>49.620000000000005</v>
      </c>
      <c r="W89" s="10"/>
      <c r="X89" s="10"/>
    </row>
    <row r="90" spans="1:24" ht="15.75" customHeight="1" x14ac:dyDescent="0.25">
      <c r="A90" s="6">
        <v>30</v>
      </c>
      <c r="B90" s="67" t="s">
        <v>763</v>
      </c>
      <c r="C90" s="45">
        <v>100</v>
      </c>
      <c r="D90" s="8">
        <v>100</v>
      </c>
      <c r="E90" s="8">
        <v>100</v>
      </c>
      <c r="F90" s="8"/>
      <c r="G90" s="8"/>
      <c r="H90" s="8"/>
      <c r="I90" s="8">
        <v>60</v>
      </c>
      <c r="J90" s="15">
        <f t="shared" si="5"/>
        <v>76.8</v>
      </c>
      <c r="K90" s="8">
        <v>65</v>
      </c>
      <c r="L90" s="8">
        <v>65</v>
      </c>
      <c r="M90" s="15">
        <f t="shared" si="6"/>
        <v>6.5</v>
      </c>
      <c r="N90" s="8">
        <v>65</v>
      </c>
      <c r="O90" s="8">
        <v>65</v>
      </c>
      <c r="P90" s="15">
        <f t="shared" si="7"/>
        <v>6.5</v>
      </c>
      <c r="Q90" s="10"/>
      <c r="R90" s="201" t="str">
        <f t="shared" si="8"/>
        <v>SUPERIOR</v>
      </c>
      <c r="S90" s="202"/>
      <c r="T90" s="202"/>
      <c r="U90" s="338"/>
      <c r="V90" s="51">
        <f t="shared" si="9"/>
        <v>89.8</v>
      </c>
      <c r="W90" s="10"/>
      <c r="X90" s="10"/>
    </row>
    <row r="91" spans="1:24" ht="15.75" customHeight="1" x14ac:dyDescent="0.25">
      <c r="A91" s="6">
        <v>31</v>
      </c>
      <c r="B91" s="67" t="s">
        <v>764</v>
      </c>
      <c r="C91" s="45">
        <v>51</v>
      </c>
      <c r="D91" s="8">
        <v>93</v>
      </c>
      <c r="E91" s="8">
        <v>55</v>
      </c>
      <c r="F91" s="8"/>
      <c r="G91" s="8"/>
      <c r="H91" s="8"/>
      <c r="I91" s="8">
        <v>60</v>
      </c>
      <c r="J91" s="15">
        <f t="shared" si="5"/>
        <v>52.559999999999995</v>
      </c>
      <c r="K91" s="8">
        <v>84</v>
      </c>
      <c r="L91" s="8">
        <v>84</v>
      </c>
      <c r="M91" s="15">
        <f t="shared" si="6"/>
        <v>8.4</v>
      </c>
      <c r="N91" s="8">
        <v>91</v>
      </c>
      <c r="O91" s="8">
        <v>91</v>
      </c>
      <c r="P91" s="15">
        <f t="shared" si="7"/>
        <v>9.1</v>
      </c>
      <c r="Q91" s="10"/>
      <c r="R91" s="201" t="str">
        <f t="shared" si="8"/>
        <v>BASICO</v>
      </c>
      <c r="S91" s="202"/>
      <c r="T91" s="202"/>
      <c r="U91" s="338"/>
      <c r="V91" s="51">
        <f t="shared" si="9"/>
        <v>70.059999999999988</v>
      </c>
      <c r="W91" s="10"/>
      <c r="X91" s="10"/>
    </row>
    <row r="92" spans="1:24" ht="15.75" customHeight="1" x14ac:dyDescent="0.25">
      <c r="A92" s="6">
        <v>32</v>
      </c>
      <c r="B92" s="172" t="s">
        <v>904</v>
      </c>
      <c r="C92" s="45">
        <v>67</v>
      </c>
      <c r="D92" s="8">
        <v>63</v>
      </c>
      <c r="E92" s="8">
        <v>97</v>
      </c>
      <c r="F92" s="8"/>
      <c r="G92" s="8"/>
      <c r="H92" s="8"/>
      <c r="I92" s="8">
        <v>40</v>
      </c>
      <c r="J92" s="15">
        <f t="shared" si="5"/>
        <v>57.680000000000007</v>
      </c>
      <c r="K92" s="8">
        <v>89</v>
      </c>
      <c r="L92" s="8">
        <v>89</v>
      </c>
      <c r="M92" s="15">
        <f t="shared" si="6"/>
        <v>8.9</v>
      </c>
      <c r="N92" s="8">
        <v>87</v>
      </c>
      <c r="O92" s="8">
        <v>87</v>
      </c>
      <c r="P92" s="15">
        <f t="shared" si="7"/>
        <v>8.7000000000000011</v>
      </c>
      <c r="Q92" s="10"/>
      <c r="R92" s="201" t="str">
        <f t="shared" si="8"/>
        <v>BASICO</v>
      </c>
      <c r="S92" s="202"/>
      <c r="T92" s="202"/>
      <c r="U92" s="338"/>
      <c r="V92" s="51">
        <f t="shared" si="9"/>
        <v>75.280000000000015</v>
      </c>
      <c r="W92" s="10"/>
      <c r="X92" s="10"/>
    </row>
    <row r="93" spans="1:24" ht="15.75" customHeight="1" x14ac:dyDescent="0.25">
      <c r="A93" s="6">
        <v>33</v>
      </c>
      <c r="B93" s="67" t="s">
        <v>765</v>
      </c>
      <c r="C93" s="45">
        <v>51</v>
      </c>
      <c r="D93" s="8">
        <v>46</v>
      </c>
      <c r="E93" s="8">
        <v>50</v>
      </c>
      <c r="F93" s="8"/>
      <c r="G93" s="8"/>
      <c r="H93" s="8"/>
      <c r="I93" s="8">
        <v>40</v>
      </c>
      <c r="J93" s="15">
        <f t="shared" si="5"/>
        <v>38.480000000000004</v>
      </c>
      <c r="K93" s="8">
        <v>85</v>
      </c>
      <c r="L93" s="8">
        <v>85</v>
      </c>
      <c r="M93" s="15">
        <f t="shared" si="6"/>
        <v>8.5</v>
      </c>
      <c r="N93" s="8">
        <v>85</v>
      </c>
      <c r="O93" s="8">
        <v>85</v>
      </c>
      <c r="P93" s="15">
        <f t="shared" si="7"/>
        <v>8.5</v>
      </c>
      <c r="Q93" s="10"/>
      <c r="R93" s="201" t="str">
        <f t="shared" si="8"/>
        <v>BAJO</v>
      </c>
      <c r="S93" s="202"/>
      <c r="T93" s="202"/>
      <c r="U93" s="338"/>
      <c r="V93" s="51">
        <f t="shared" si="9"/>
        <v>55.480000000000004</v>
      </c>
      <c r="W93" s="10"/>
      <c r="X93" s="10"/>
    </row>
    <row r="94" spans="1:24" ht="15.75" customHeight="1" x14ac:dyDescent="0.25">
      <c r="A94" s="6">
        <v>34</v>
      </c>
      <c r="B94" s="67" t="s">
        <v>766</v>
      </c>
      <c r="C94" s="45">
        <v>21</v>
      </c>
      <c r="D94" s="8">
        <v>20</v>
      </c>
      <c r="E94" s="8">
        <v>79</v>
      </c>
      <c r="F94" s="8"/>
      <c r="G94" s="8"/>
      <c r="H94" s="8"/>
      <c r="I94" s="8">
        <v>40</v>
      </c>
      <c r="J94" s="15">
        <f t="shared" si="5"/>
        <v>31.999999999999996</v>
      </c>
      <c r="K94" s="8">
        <v>93</v>
      </c>
      <c r="L94" s="8">
        <v>93</v>
      </c>
      <c r="M94" s="15">
        <f t="shared" si="6"/>
        <v>9.3000000000000007</v>
      </c>
      <c r="N94" s="8">
        <v>82</v>
      </c>
      <c r="O94" s="8">
        <v>82</v>
      </c>
      <c r="P94" s="15">
        <f t="shared" si="7"/>
        <v>8.2000000000000011</v>
      </c>
      <c r="Q94" s="10"/>
      <c r="R94" s="201" t="str">
        <f t="shared" si="8"/>
        <v>BAJO</v>
      </c>
      <c r="S94" s="202"/>
      <c r="T94" s="202"/>
      <c r="U94" s="338"/>
      <c r="V94" s="51">
        <f t="shared" si="9"/>
        <v>49.5</v>
      </c>
      <c r="W94" s="10"/>
      <c r="X94" s="10"/>
    </row>
    <row r="95" spans="1:24" ht="15.75" customHeight="1" x14ac:dyDescent="0.25">
      <c r="A95" s="6">
        <v>35</v>
      </c>
      <c r="B95" s="67"/>
      <c r="C95" s="45"/>
      <c r="D95" s="8"/>
      <c r="E95" s="8"/>
      <c r="F95" s="8"/>
      <c r="G95" s="8"/>
      <c r="H95" s="8"/>
      <c r="I95" s="8"/>
      <c r="J95" s="15" t="e">
        <f t="shared" si="5"/>
        <v>#DIV/0!</v>
      </c>
      <c r="K95" s="8"/>
      <c r="L95" s="8"/>
      <c r="M95" s="15" t="e">
        <f t="shared" si="6"/>
        <v>#DIV/0!</v>
      </c>
      <c r="N95" s="8"/>
      <c r="O95" s="8"/>
      <c r="P95" s="15" t="e">
        <f t="shared" si="7"/>
        <v>#DIV/0!</v>
      </c>
      <c r="Q95" s="10"/>
      <c r="R95" s="201" t="e">
        <f t="shared" si="8"/>
        <v>#DIV/0!</v>
      </c>
      <c r="S95" s="202"/>
      <c r="T95" s="202"/>
      <c r="U95" s="338"/>
      <c r="V95" s="51" t="e">
        <f t="shared" si="9"/>
        <v>#DIV/0!</v>
      </c>
      <c r="W95" s="10"/>
      <c r="X95" s="10"/>
    </row>
    <row r="96" spans="1:24" ht="15.75" customHeight="1" x14ac:dyDescent="0.25">
      <c r="A96" s="6">
        <v>36</v>
      </c>
      <c r="B96" s="67"/>
      <c r="C96" s="45"/>
      <c r="D96" s="8"/>
      <c r="E96" s="8"/>
      <c r="F96" s="8"/>
      <c r="G96" s="8"/>
      <c r="H96" s="8"/>
      <c r="I96" s="8"/>
      <c r="J96" s="15" t="e">
        <f t="shared" si="5"/>
        <v>#DIV/0!</v>
      </c>
      <c r="K96" s="8"/>
      <c r="L96" s="8"/>
      <c r="M96" s="15" t="e">
        <f t="shared" si="6"/>
        <v>#DIV/0!</v>
      </c>
      <c r="N96" s="8"/>
      <c r="O96" s="8"/>
      <c r="P96" s="15" t="e">
        <f t="shared" si="7"/>
        <v>#DIV/0!</v>
      </c>
      <c r="Q96" s="10"/>
      <c r="R96" s="201" t="e">
        <f t="shared" si="8"/>
        <v>#DIV/0!</v>
      </c>
      <c r="S96" s="202"/>
      <c r="T96" s="202"/>
      <c r="U96" s="338"/>
      <c r="V96" s="51" t="e">
        <f t="shared" si="9"/>
        <v>#DIV/0!</v>
      </c>
      <c r="W96" s="10"/>
      <c r="X96" s="10"/>
    </row>
    <row r="97" spans="1:24" ht="15.75" customHeight="1" x14ac:dyDescent="0.25">
      <c r="A97" s="6">
        <v>37</v>
      </c>
      <c r="B97" s="67"/>
      <c r="C97" s="45"/>
      <c r="D97" s="8"/>
      <c r="E97" s="8"/>
      <c r="F97" s="8"/>
      <c r="G97" s="8"/>
      <c r="H97" s="8"/>
      <c r="I97" s="8"/>
      <c r="J97" s="15" t="e">
        <f t="shared" si="5"/>
        <v>#DIV/0!</v>
      </c>
      <c r="K97" s="8"/>
      <c r="L97" s="8"/>
      <c r="M97" s="15" t="e">
        <f t="shared" si="6"/>
        <v>#DIV/0!</v>
      </c>
      <c r="N97" s="8"/>
      <c r="O97" s="8"/>
      <c r="P97" s="15" t="e">
        <f t="shared" si="7"/>
        <v>#DIV/0!</v>
      </c>
      <c r="Q97" s="10"/>
      <c r="R97" s="201" t="e">
        <f t="shared" si="8"/>
        <v>#DIV/0!</v>
      </c>
      <c r="S97" s="202"/>
      <c r="T97" s="202"/>
      <c r="U97" s="338"/>
      <c r="V97" s="51" t="e">
        <f t="shared" si="9"/>
        <v>#DIV/0!</v>
      </c>
      <c r="W97" s="10"/>
      <c r="X97" s="10"/>
    </row>
    <row r="98" spans="1:24" ht="15.75" customHeight="1" x14ac:dyDescent="0.25">
      <c r="A98" s="6">
        <v>38</v>
      </c>
      <c r="B98" s="67"/>
      <c r="C98" s="45"/>
      <c r="D98" s="8"/>
      <c r="E98" s="8"/>
      <c r="F98" s="8"/>
      <c r="G98" s="8"/>
      <c r="H98" s="8"/>
      <c r="I98" s="8"/>
      <c r="J98" s="15" t="e">
        <f t="shared" si="5"/>
        <v>#DIV/0!</v>
      </c>
      <c r="K98" s="8"/>
      <c r="L98" s="8"/>
      <c r="M98" s="15" t="e">
        <f t="shared" si="6"/>
        <v>#DIV/0!</v>
      </c>
      <c r="N98" s="8"/>
      <c r="O98" s="8"/>
      <c r="P98" s="15" t="e">
        <f t="shared" si="7"/>
        <v>#DIV/0!</v>
      </c>
      <c r="Q98" s="10"/>
      <c r="R98" s="201" t="e">
        <f t="shared" si="8"/>
        <v>#DIV/0!</v>
      </c>
      <c r="S98" s="202"/>
      <c r="T98" s="202"/>
      <c r="U98" s="338"/>
      <c r="V98" s="51" t="e">
        <f t="shared" si="9"/>
        <v>#DIV/0!</v>
      </c>
      <c r="W98" s="10"/>
      <c r="X98" s="10"/>
    </row>
    <row r="99" spans="1:24" ht="15.75" customHeight="1" x14ac:dyDescent="0.25">
      <c r="A99" s="6">
        <v>39</v>
      </c>
      <c r="B99" s="94"/>
      <c r="C99" s="45"/>
      <c r="D99" s="8"/>
      <c r="E99" s="8"/>
      <c r="F99" s="8"/>
      <c r="G99" s="8"/>
      <c r="H99" s="8"/>
      <c r="I99" s="8"/>
      <c r="J99" s="15" t="e">
        <f t="shared" si="5"/>
        <v>#DIV/0!</v>
      </c>
      <c r="K99" s="8"/>
      <c r="L99" s="8"/>
      <c r="M99" s="15" t="e">
        <f t="shared" si="6"/>
        <v>#DIV/0!</v>
      </c>
      <c r="N99" s="8"/>
      <c r="O99" s="8"/>
      <c r="P99" s="15" t="e">
        <f t="shared" si="7"/>
        <v>#DIV/0!</v>
      </c>
      <c r="Q99" s="10"/>
      <c r="R99" s="201" t="e">
        <f t="shared" si="8"/>
        <v>#DIV/0!</v>
      </c>
      <c r="S99" s="202"/>
      <c r="T99" s="202"/>
      <c r="U99" s="338"/>
      <c r="V99" s="51" t="e">
        <f t="shared" si="9"/>
        <v>#DIV/0!</v>
      </c>
      <c r="W99" s="10"/>
      <c r="X99" s="10"/>
    </row>
    <row r="100" spans="1:24" ht="15.75" customHeight="1" x14ac:dyDescent="0.25">
      <c r="A100" s="6">
        <v>40</v>
      </c>
      <c r="B100" s="94"/>
      <c r="C100" s="45"/>
      <c r="D100" s="8"/>
      <c r="E100" s="8"/>
      <c r="F100" s="8"/>
      <c r="G100" s="8"/>
      <c r="H100" s="8"/>
      <c r="I100" s="8"/>
      <c r="J100" s="15" t="e">
        <f t="shared" si="5"/>
        <v>#DIV/0!</v>
      </c>
      <c r="K100" s="8"/>
      <c r="L100" s="8"/>
      <c r="M100" s="15" t="e">
        <f t="shared" si="6"/>
        <v>#DIV/0!</v>
      </c>
      <c r="N100" s="8"/>
      <c r="O100" s="8"/>
      <c r="P100" s="15" t="e">
        <f t="shared" si="7"/>
        <v>#DIV/0!</v>
      </c>
      <c r="Q100" s="10"/>
      <c r="R100" s="201" t="e">
        <f t="shared" si="8"/>
        <v>#DIV/0!</v>
      </c>
      <c r="S100" s="202"/>
      <c r="T100" s="202"/>
      <c r="U100" s="338"/>
      <c r="V100" s="51" t="e">
        <f t="shared" si="9"/>
        <v>#DIV/0!</v>
      </c>
      <c r="W100" s="10"/>
      <c r="X100" s="10"/>
    </row>
    <row r="101" spans="1:24" ht="15.75" customHeight="1" x14ac:dyDescent="0.25">
      <c r="A101" s="6">
        <v>41</v>
      </c>
      <c r="B101" s="94"/>
      <c r="C101" s="45"/>
      <c r="D101" s="8"/>
      <c r="E101" s="8"/>
      <c r="F101" s="8"/>
      <c r="G101" s="8"/>
      <c r="H101" s="8"/>
      <c r="I101" s="8"/>
      <c r="J101" s="15" t="e">
        <f t="shared" si="5"/>
        <v>#DIV/0!</v>
      </c>
      <c r="K101" s="8"/>
      <c r="L101" s="8"/>
      <c r="M101" s="15" t="e">
        <f t="shared" si="6"/>
        <v>#DIV/0!</v>
      </c>
      <c r="N101" s="8"/>
      <c r="O101" s="8"/>
      <c r="P101" s="15" t="e">
        <f t="shared" si="7"/>
        <v>#DIV/0!</v>
      </c>
      <c r="Q101" s="10"/>
      <c r="R101" s="201" t="e">
        <f t="shared" si="8"/>
        <v>#DIV/0!</v>
      </c>
      <c r="S101" s="202"/>
      <c r="T101" s="202"/>
      <c r="U101" s="338"/>
      <c r="V101" s="51" t="e">
        <f t="shared" si="9"/>
        <v>#DIV/0!</v>
      </c>
      <c r="W101" s="10"/>
      <c r="X101" s="10"/>
    </row>
    <row r="102" spans="1:24" ht="15.75" customHeight="1" x14ac:dyDescent="0.25">
      <c r="A102" s="6">
        <v>42</v>
      </c>
      <c r="B102" s="94"/>
      <c r="C102" s="45"/>
      <c r="D102" s="8"/>
      <c r="E102" s="8"/>
      <c r="F102" s="8"/>
      <c r="G102" s="8"/>
      <c r="H102" s="8"/>
      <c r="I102" s="8"/>
      <c r="J102" s="15" t="e">
        <f t="shared" si="5"/>
        <v>#DIV/0!</v>
      </c>
      <c r="K102" s="8"/>
      <c r="L102" s="8"/>
      <c r="M102" s="15" t="e">
        <f t="shared" si="6"/>
        <v>#DIV/0!</v>
      </c>
      <c r="N102" s="8"/>
      <c r="O102" s="8"/>
      <c r="P102" s="15" t="e">
        <f t="shared" si="7"/>
        <v>#DIV/0!</v>
      </c>
      <c r="Q102" s="10"/>
      <c r="R102" s="201" t="e">
        <f t="shared" si="8"/>
        <v>#DIV/0!</v>
      </c>
      <c r="S102" s="202"/>
      <c r="T102" s="202"/>
      <c r="U102" s="338"/>
      <c r="V102" s="51" t="e">
        <f t="shared" si="9"/>
        <v>#DIV/0!</v>
      </c>
      <c r="W102" s="10"/>
      <c r="X102" s="10"/>
    </row>
    <row r="103" spans="1:24" ht="15.75" customHeight="1" x14ac:dyDescent="0.25">
      <c r="A103" s="6">
        <v>43</v>
      </c>
      <c r="B103" s="94"/>
      <c r="C103" s="45"/>
      <c r="D103" s="8"/>
      <c r="E103" s="8"/>
      <c r="F103" s="8"/>
      <c r="G103" s="8"/>
      <c r="H103" s="8"/>
      <c r="I103" s="8"/>
      <c r="J103" s="15" t="e">
        <f t="shared" si="5"/>
        <v>#DIV/0!</v>
      </c>
      <c r="K103" s="8"/>
      <c r="L103" s="8"/>
      <c r="M103" s="15" t="e">
        <f t="shared" si="6"/>
        <v>#DIV/0!</v>
      </c>
      <c r="N103" s="8"/>
      <c r="O103" s="8"/>
      <c r="P103" s="15" t="e">
        <f t="shared" si="7"/>
        <v>#DIV/0!</v>
      </c>
      <c r="Q103" s="10"/>
      <c r="R103" s="201" t="e">
        <f t="shared" si="8"/>
        <v>#DIV/0!</v>
      </c>
      <c r="S103" s="202"/>
      <c r="T103" s="202"/>
      <c r="U103" s="338"/>
      <c r="V103" s="51" t="e">
        <f t="shared" si="9"/>
        <v>#DIV/0!</v>
      </c>
      <c r="W103" s="10"/>
      <c r="X103" s="10"/>
    </row>
    <row r="104" spans="1:24" ht="15" customHeight="1" x14ac:dyDescent="0.25">
      <c r="A104" s="6">
        <v>44</v>
      </c>
      <c r="B104" s="94"/>
      <c r="C104" s="45"/>
      <c r="D104" s="8"/>
      <c r="E104" s="8"/>
      <c r="F104" s="8"/>
      <c r="G104" s="8"/>
      <c r="H104" s="8"/>
      <c r="I104" s="8"/>
      <c r="J104" s="15" t="e">
        <f t="shared" si="5"/>
        <v>#DIV/0!</v>
      </c>
      <c r="K104" s="8"/>
      <c r="L104" s="8"/>
      <c r="M104" s="15" t="e">
        <f t="shared" si="6"/>
        <v>#DIV/0!</v>
      </c>
      <c r="N104" s="8"/>
      <c r="O104" s="8"/>
      <c r="P104" s="15" t="e">
        <f t="shared" si="7"/>
        <v>#DIV/0!</v>
      </c>
      <c r="Q104" s="10"/>
      <c r="R104" s="201" t="e">
        <f t="shared" si="8"/>
        <v>#DIV/0!</v>
      </c>
      <c r="S104" s="202"/>
      <c r="T104" s="202"/>
      <c r="U104" s="338"/>
      <c r="V104" s="51" t="e">
        <f t="shared" si="9"/>
        <v>#DIV/0!</v>
      </c>
      <c r="W104" s="10"/>
      <c r="X104" s="10"/>
    </row>
    <row r="105" spans="1:24" ht="15.75" customHeight="1" x14ac:dyDescent="0.25">
      <c r="A105" s="187"/>
      <c r="B105" s="305"/>
      <c r="C105" s="348"/>
      <c r="D105" s="348"/>
      <c r="E105" s="349"/>
      <c r="F105" s="211"/>
      <c r="G105" s="211"/>
      <c r="H105" s="211"/>
      <c r="I105" s="211"/>
      <c r="J105" s="186"/>
      <c r="K105" s="186"/>
      <c r="L105" s="348"/>
      <c r="M105" s="185"/>
      <c r="N105" s="185"/>
      <c r="O105" s="185"/>
      <c r="P105" s="185"/>
      <c r="Q105" s="247"/>
      <c r="R105" s="188"/>
      <c r="S105" s="189"/>
      <c r="T105" s="190"/>
      <c r="U105" s="194"/>
      <c r="V105" s="195"/>
      <c r="W105" s="206"/>
      <c r="X105" s="181"/>
    </row>
    <row r="106" spans="1:24" ht="15.75" customHeight="1" x14ac:dyDescent="0.25">
      <c r="A106" s="187"/>
      <c r="B106" s="302"/>
      <c r="C106" s="205"/>
      <c r="D106" s="205"/>
      <c r="E106" s="210"/>
      <c r="F106" s="211"/>
      <c r="G106" s="211"/>
      <c r="H106" s="211"/>
      <c r="I106" s="211"/>
      <c r="J106" s="204"/>
      <c r="K106" s="204"/>
      <c r="L106" s="205"/>
      <c r="M106" s="185"/>
      <c r="N106" s="185"/>
      <c r="O106" s="185"/>
      <c r="P106" s="185"/>
      <c r="Q106" s="187"/>
      <c r="R106" s="188"/>
      <c r="S106" s="189"/>
      <c r="T106" s="190"/>
      <c r="U106" s="194"/>
      <c r="V106" s="195"/>
      <c r="W106" s="206"/>
      <c r="X106" s="181"/>
    </row>
    <row r="107" spans="1:24" ht="15.75" customHeight="1" x14ac:dyDescent="0.25">
      <c r="A107" s="187"/>
      <c r="B107" s="303"/>
      <c r="C107" s="205"/>
      <c r="D107" s="205"/>
      <c r="E107" s="210"/>
      <c r="F107" s="211"/>
      <c r="G107" s="211"/>
      <c r="H107" s="211"/>
      <c r="I107" s="211"/>
      <c r="J107" s="204"/>
      <c r="K107" s="204"/>
      <c r="L107" s="205"/>
      <c r="M107" s="185"/>
      <c r="N107" s="185"/>
      <c r="O107" s="185"/>
      <c r="P107" s="185"/>
      <c r="Q107" s="187"/>
      <c r="R107" s="188"/>
      <c r="S107" s="189"/>
      <c r="T107" s="190"/>
      <c r="U107" s="194"/>
      <c r="V107" s="195"/>
      <c r="W107" s="206"/>
      <c r="X107" s="181"/>
    </row>
    <row r="108" spans="1:24" ht="79.5" customHeight="1" thickBot="1" x14ac:dyDescent="0.3">
      <c r="A108" s="187"/>
      <c r="B108" s="306"/>
      <c r="C108" s="205"/>
      <c r="D108" s="205"/>
      <c r="E108" s="210"/>
      <c r="F108" s="212"/>
      <c r="G108" s="212"/>
      <c r="H108" s="212"/>
      <c r="I108" s="212"/>
      <c r="J108" s="204"/>
      <c r="K108" s="204"/>
      <c r="L108" s="205"/>
      <c r="M108" s="186"/>
      <c r="N108" s="186"/>
      <c r="O108" s="186"/>
      <c r="P108" s="186"/>
      <c r="Q108" s="187"/>
      <c r="R108" s="191"/>
      <c r="S108" s="192"/>
      <c r="T108" s="193"/>
      <c r="U108" s="196"/>
      <c r="V108" s="197"/>
      <c r="W108" s="207"/>
      <c r="X108" s="182"/>
    </row>
    <row r="109" spans="1:24" ht="87.75" customHeight="1" thickTop="1" thickBot="1" x14ac:dyDescent="0.3">
      <c r="A109" s="290"/>
      <c r="B109" s="291"/>
      <c r="C109" s="291"/>
      <c r="D109" s="291"/>
      <c r="E109" s="291"/>
      <c r="F109" s="291"/>
      <c r="G109" s="291"/>
      <c r="H109" s="291"/>
      <c r="I109" s="291"/>
      <c r="J109" s="291"/>
      <c r="K109" s="291"/>
      <c r="L109" s="291"/>
      <c r="M109" s="291"/>
      <c r="N109" s="291"/>
      <c r="O109" s="291"/>
      <c r="P109" s="292"/>
      <c r="Q109" s="310"/>
      <c r="R109" s="228"/>
      <c r="S109" s="228"/>
      <c r="T109" s="228"/>
      <c r="U109" s="228"/>
      <c r="V109" s="228"/>
      <c r="W109" s="228"/>
      <c r="X109" s="229"/>
    </row>
    <row r="110" spans="1:24" ht="15.75" customHeight="1" thickBot="1" x14ac:dyDescent="0.3">
      <c r="A110" s="218" t="s">
        <v>930</v>
      </c>
      <c r="B110" s="219"/>
      <c r="C110" s="220" t="s">
        <v>19</v>
      </c>
      <c r="D110" s="221"/>
      <c r="E110" s="221"/>
      <c r="F110" s="221"/>
      <c r="G110" s="221"/>
      <c r="H110" s="221"/>
      <c r="I110" s="222"/>
      <c r="J110" s="223" t="s">
        <v>20</v>
      </c>
      <c r="K110" s="224"/>
      <c r="L110" s="224"/>
      <c r="M110" s="224"/>
      <c r="N110" s="225"/>
      <c r="O110" s="225"/>
      <c r="P110" s="225"/>
      <c r="Q110" s="226"/>
      <c r="R110" s="227" t="s">
        <v>39</v>
      </c>
      <c r="S110" s="228"/>
      <c r="T110" s="228"/>
      <c r="U110" s="228"/>
      <c r="V110" s="228"/>
      <c r="W110" s="228"/>
      <c r="X110" s="229"/>
    </row>
    <row r="111" spans="1:24" ht="15.75" customHeight="1" x14ac:dyDescent="0.25">
      <c r="A111" s="230" t="s">
        <v>0</v>
      </c>
      <c r="B111" s="293" t="s">
        <v>1</v>
      </c>
      <c r="C111" s="235" t="s">
        <v>12</v>
      </c>
      <c r="D111" s="235"/>
      <c r="E111" s="235"/>
      <c r="F111" s="235"/>
      <c r="G111" s="235"/>
      <c r="H111" s="235"/>
      <c r="I111" s="235"/>
      <c r="J111" s="235"/>
      <c r="K111" s="236" t="s">
        <v>13</v>
      </c>
      <c r="L111" s="237"/>
      <c r="M111" s="237"/>
      <c r="N111" s="240" t="s">
        <v>15</v>
      </c>
      <c r="O111" s="240"/>
      <c r="P111" s="240"/>
      <c r="Q111" s="241" t="s">
        <v>4</v>
      </c>
      <c r="R111" s="244" t="s">
        <v>11</v>
      </c>
      <c r="S111" s="244"/>
      <c r="T111" s="244"/>
      <c r="U111" s="244"/>
      <c r="V111" s="244"/>
      <c r="W111" s="246" t="s">
        <v>2</v>
      </c>
      <c r="X111" s="247"/>
    </row>
    <row r="112" spans="1:24" ht="15.75" customHeight="1" x14ac:dyDescent="0.25">
      <c r="A112" s="231"/>
      <c r="B112" s="294"/>
      <c r="C112" s="248" t="s">
        <v>6</v>
      </c>
      <c r="D112" s="248" t="s">
        <v>17</v>
      </c>
      <c r="E112" s="248" t="s">
        <v>5</v>
      </c>
      <c r="F112" s="250"/>
      <c r="G112" s="250"/>
      <c r="H112" s="250"/>
      <c r="I112" s="251" t="s">
        <v>16</v>
      </c>
      <c r="J112" s="350" t="s">
        <v>14</v>
      </c>
      <c r="K112" s="238"/>
      <c r="L112" s="239"/>
      <c r="M112" s="239"/>
      <c r="N112" s="240"/>
      <c r="O112" s="240"/>
      <c r="P112" s="240"/>
      <c r="Q112" s="242"/>
      <c r="R112" s="245"/>
      <c r="S112" s="245"/>
      <c r="T112" s="245"/>
      <c r="U112" s="245"/>
      <c r="V112" s="245"/>
      <c r="W112" s="187"/>
      <c r="X112" s="187"/>
    </row>
    <row r="113" spans="1:24" ht="29.25" customHeight="1" thickBot="1" x14ac:dyDescent="0.3">
      <c r="A113" s="232"/>
      <c r="B113" s="295"/>
      <c r="C113" s="248"/>
      <c r="D113" s="248"/>
      <c r="E113" s="248"/>
      <c r="F113" s="248"/>
      <c r="G113" s="248"/>
      <c r="H113" s="248"/>
      <c r="I113" s="328"/>
      <c r="J113" s="351"/>
      <c r="K113" s="27" t="s">
        <v>9</v>
      </c>
      <c r="L113" s="27" t="s">
        <v>10</v>
      </c>
      <c r="M113" s="43" t="s">
        <v>3</v>
      </c>
      <c r="N113" s="27" t="s">
        <v>9</v>
      </c>
      <c r="O113" s="27" t="s">
        <v>10</v>
      </c>
      <c r="P113" s="25" t="s">
        <v>3</v>
      </c>
      <c r="Q113" s="321"/>
      <c r="R113" s="322" t="s">
        <v>7</v>
      </c>
      <c r="S113" s="323"/>
      <c r="T113" s="323"/>
      <c r="U113" s="324"/>
      <c r="V113" s="12" t="s">
        <v>8</v>
      </c>
      <c r="W113" s="5">
        <v>1</v>
      </c>
      <c r="X113" s="5">
        <v>2</v>
      </c>
    </row>
    <row r="114" spans="1:24" ht="15.75" customHeight="1" x14ac:dyDescent="0.25">
      <c r="A114" s="6">
        <v>1</v>
      </c>
      <c r="B114" s="121" t="s">
        <v>164</v>
      </c>
      <c r="C114" s="44">
        <v>95</v>
      </c>
      <c r="D114" s="30">
        <v>33</v>
      </c>
      <c r="E114" s="30">
        <v>42</v>
      </c>
      <c r="F114" s="30"/>
      <c r="G114" s="30"/>
      <c r="H114" s="30"/>
      <c r="I114" s="30">
        <v>40</v>
      </c>
      <c r="J114" s="31">
        <f>((AVERAGE(C114:H114))*72%)+I114*8%</f>
        <v>44</v>
      </c>
      <c r="K114" s="30">
        <v>95</v>
      </c>
      <c r="L114" s="30">
        <v>95</v>
      </c>
      <c r="M114" s="31">
        <f>(AVERAGE(K114:L114))*10%</f>
        <v>9.5</v>
      </c>
      <c r="N114" s="30">
        <v>91</v>
      </c>
      <c r="O114" s="30">
        <v>91</v>
      </c>
      <c r="P114" s="31">
        <f>(AVERAGE(N114:O114))*10%</f>
        <v>9.1</v>
      </c>
      <c r="Q114" s="30"/>
      <c r="R114" s="325" t="str">
        <f>IF(V114&lt;65,"BAJO",IF(V114&lt;=79,"BASICO",IF(V114&lt;=89,"ALTO",IF(V114&lt;=100,"SUPERIOR"))))</f>
        <v>BAJO</v>
      </c>
      <c r="S114" s="326"/>
      <c r="T114" s="326"/>
      <c r="U114" s="337"/>
      <c r="V114" s="51">
        <f>J114+M114+P114</f>
        <v>62.6</v>
      </c>
      <c r="W114" s="10"/>
      <c r="X114" s="10"/>
    </row>
    <row r="115" spans="1:24" ht="15.75" customHeight="1" x14ac:dyDescent="0.25">
      <c r="A115" s="6">
        <v>2</v>
      </c>
      <c r="B115" s="116" t="s">
        <v>920</v>
      </c>
      <c r="C115" s="45">
        <v>33</v>
      </c>
      <c r="D115" s="8">
        <v>33</v>
      </c>
      <c r="E115" s="8">
        <v>33</v>
      </c>
      <c r="F115" s="8"/>
      <c r="G115" s="8"/>
      <c r="H115" s="8"/>
      <c r="I115" s="9">
        <v>40</v>
      </c>
      <c r="J115" s="15">
        <f t="shared" ref="J115:J159" si="10">((AVERAGE(C115:H115))*72%)+I115*8%</f>
        <v>26.959999999999997</v>
      </c>
      <c r="K115" s="8">
        <v>65</v>
      </c>
      <c r="L115" s="8">
        <v>65</v>
      </c>
      <c r="M115" s="15">
        <f t="shared" ref="M115:M159" si="11">(AVERAGE(K115:L115))*10%</f>
        <v>6.5</v>
      </c>
      <c r="N115" s="8">
        <v>65</v>
      </c>
      <c r="O115" s="8">
        <v>65</v>
      </c>
      <c r="P115" s="15">
        <f t="shared" ref="P115:P159" si="12">(AVERAGE(N115:O115))*10%</f>
        <v>6.5</v>
      </c>
      <c r="Q115" s="11"/>
      <c r="R115" s="201" t="str">
        <f t="shared" ref="R115:R159" si="13">IF(V115&lt;65,"BAJO",IF(V115&lt;=79,"BASICO",IF(V115&lt;=89,"ALTO",IF(V115&lt;=100,"SUPERIOR"))))</f>
        <v>BAJO</v>
      </c>
      <c r="S115" s="202"/>
      <c r="T115" s="202"/>
      <c r="U115" s="338"/>
      <c r="V115" s="51">
        <f t="shared" ref="V115:V159" si="14">J115+M115+P115</f>
        <v>39.959999999999994</v>
      </c>
      <c r="W115" s="10"/>
      <c r="X115" s="10"/>
    </row>
    <row r="116" spans="1:24" ht="15.75" customHeight="1" x14ac:dyDescent="0.25">
      <c r="A116" s="6">
        <v>3</v>
      </c>
      <c r="B116" s="116" t="s">
        <v>260</v>
      </c>
      <c r="C116" s="45">
        <v>30</v>
      </c>
      <c r="D116" s="8">
        <v>30</v>
      </c>
      <c r="E116" s="8">
        <v>30</v>
      </c>
      <c r="F116" s="8"/>
      <c r="G116" s="8"/>
      <c r="H116" s="8"/>
      <c r="I116" s="9">
        <v>60</v>
      </c>
      <c r="J116" s="15">
        <f t="shared" si="10"/>
        <v>26.4</v>
      </c>
      <c r="K116" s="8">
        <v>65</v>
      </c>
      <c r="L116" s="8">
        <v>65</v>
      </c>
      <c r="M116" s="15">
        <f t="shared" si="11"/>
        <v>6.5</v>
      </c>
      <c r="N116" s="8">
        <v>65</v>
      </c>
      <c r="O116" s="8">
        <v>65</v>
      </c>
      <c r="P116" s="15">
        <f t="shared" si="12"/>
        <v>6.5</v>
      </c>
      <c r="Q116" s="11"/>
      <c r="R116" s="201" t="str">
        <f t="shared" si="13"/>
        <v>BAJO</v>
      </c>
      <c r="S116" s="202"/>
      <c r="T116" s="202"/>
      <c r="U116" s="338"/>
      <c r="V116" s="51">
        <f t="shared" si="14"/>
        <v>39.4</v>
      </c>
      <c r="W116" s="10"/>
      <c r="X116" s="10"/>
    </row>
    <row r="117" spans="1:24" ht="15.75" customHeight="1" x14ac:dyDescent="0.25">
      <c r="A117" s="6">
        <v>4</v>
      </c>
      <c r="B117" s="116" t="s">
        <v>344</v>
      </c>
      <c r="C117" s="45">
        <v>89</v>
      </c>
      <c r="D117" s="8">
        <v>78</v>
      </c>
      <c r="E117" s="8">
        <v>98</v>
      </c>
      <c r="F117" s="8"/>
      <c r="G117" s="8"/>
      <c r="H117" s="8"/>
      <c r="I117" s="8">
        <v>40</v>
      </c>
      <c r="J117" s="15">
        <f t="shared" si="10"/>
        <v>66.8</v>
      </c>
      <c r="K117" s="8">
        <v>92</v>
      </c>
      <c r="L117" s="8">
        <v>92</v>
      </c>
      <c r="M117" s="15">
        <f t="shared" si="11"/>
        <v>9.2000000000000011</v>
      </c>
      <c r="N117" s="8">
        <v>80</v>
      </c>
      <c r="O117" s="8">
        <v>80</v>
      </c>
      <c r="P117" s="15">
        <f t="shared" si="12"/>
        <v>8</v>
      </c>
      <c r="Q117" s="11"/>
      <c r="R117" s="201" t="str">
        <f t="shared" si="13"/>
        <v>ALTO</v>
      </c>
      <c r="S117" s="202"/>
      <c r="T117" s="202"/>
      <c r="U117" s="338"/>
      <c r="V117" s="51">
        <f t="shared" si="14"/>
        <v>84</v>
      </c>
      <c r="W117" s="10"/>
      <c r="X117" s="10"/>
    </row>
    <row r="118" spans="1:24" ht="15.75" customHeight="1" x14ac:dyDescent="0.25">
      <c r="A118" s="6">
        <v>5</v>
      </c>
      <c r="B118" s="125" t="s">
        <v>168</v>
      </c>
      <c r="C118" s="45">
        <v>89</v>
      </c>
      <c r="D118" s="8">
        <v>65</v>
      </c>
      <c r="E118" s="8">
        <v>68</v>
      </c>
      <c r="F118" s="8"/>
      <c r="G118" s="8"/>
      <c r="H118" s="8"/>
      <c r="I118" s="8">
        <v>60</v>
      </c>
      <c r="J118" s="15">
        <f t="shared" si="10"/>
        <v>58.08</v>
      </c>
      <c r="K118" s="8">
        <v>99</v>
      </c>
      <c r="L118" s="8">
        <v>99</v>
      </c>
      <c r="M118" s="15">
        <f t="shared" si="11"/>
        <v>9.9</v>
      </c>
      <c r="N118" s="8">
        <v>100</v>
      </c>
      <c r="O118" s="8">
        <v>100</v>
      </c>
      <c r="P118" s="15">
        <f t="shared" si="12"/>
        <v>10</v>
      </c>
      <c r="Q118" s="10"/>
      <c r="R118" s="201" t="str">
        <f t="shared" si="13"/>
        <v>BASICO</v>
      </c>
      <c r="S118" s="202"/>
      <c r="T118" s="202"/>
      <c r="U118" s="338"/>
      <c r="V118" s="51">
        <f t="shared" si="14"/>
        <v>77.98</v>
      </c>
      <c r="W118" s="10"/>
      <c r="X118" s="10"/>
    </row>
    <row r="119" spans="1:24" ht="15.75" customHeight="1" x14ac:dyDescent="0.25">
      <c r="A119" s="6">
        <v>6</v>
      </c>
      <c r="B119" s="116" t="s">
        <v>249</v>
      </c>
      <c r="C119" s="45">
        <v>100</v>
      </c>
      <c r="D119" s="8">
        <v>100</v>
      </c>
      <c r="E119" s="8">
        <v>100</v>
      </c>
      <c r="F119" s="8"/>
      <c r="G119" s="8"/>
      <c r="H119" s="8"/>
      <c r="I119" s="8">
        <v>60</v>
      </c>
      <c r="J119" s="15">
        <f t="shared" si="10"/>
        <v>76.8</v>
      </c>
      <c r="K119" s="8">
        <v>65</v>
      </c>
      <c r="L119" s="8">
        <v>65</v>
      </c>
      <c r="M119" s="15">
        <f t="shared" si="11"/>
        <v>6.5</v>
      </c>
      <c r="N119" s="8">
        <v>65</v>
      </c>
      <c r="O119" s="8">
        <v>65</v>
      </c>
      <c r="P119" s="15">
        <f t="shared" si="12"/>
        <v>6.5</v>
      </c>
      <c r="Q119" s="10"/>
      <c r="R119" s="201" t="str">
        <f t="shared" si="13"/>
        <v>SUPERIOR</v>
      </c>
      <c r="S119" s="202"/>
      <c r="T119" s="202"/>
      <c r="U119" s="338"/>
      <c r="V119" s="51">
        <f t="shared" si="14"/>
        <v>89.8</v>
      </c>
      <c r="W119" s="10"/>
      <c r="X119" s="10"/>
    </row>
    <row r="120" spans="1:24" ht="15.75" customHeight="1" x14ac:dyDescent="0.25">
      <c r="A120" s="6">
        <v>7</v>
      </c>
      <c r="B120" s="116" t="s">
        <v>375</v>
      </c>
      <c r="C120" s="45">
        <v>78</v>
      </c>
      <c r="D120" s="8">
        <v>81</v>
      </c>
      <c r="E120" s="8">
        <v>36</v>
      </c>
      <c r="F120" s="8"/>
      <c r="G120" s="8"/>
      <c r="H120" s="8"/>
      <c r="I120" s="8">
        <v>0</v>
      </c>
      <c r="J120" s="15">
        <f t="shared" si="10"/>
        <v>46.8</v>
      </c>
      <c r="K120" s="8">
        <v>92</v>
      </c>
      <c r="L120" s="8">
        <v>92</v>
      </c>
      <c r="M120" s="15">
        <f t="shared" si="11"/>
        <v>9.2000000000000011</v>
      </c>
      <c r="N120" s="8">
        <v>92</v>
      </c>
      <c r="O120" s="8">
        <v>92</v>
      </c>
      <c r="P120" s="15">
        <f t="shared" si="12"/>
        <v>9.2000000000000011</v>
      </c>
      <c r="Q120" s="10"/>
      <c r="R120" s="201" t="str">
        <f t="shared" si="13"/>
        <v>BASICO</v>
      </c>
      <c r="S120" s="202"/>
      <c r="T120" s="202"/>
      <c r="U120" s="338"/>
      <c r="V120" s="51">
        <f t="shared" si="14"/>
        <v>65.2</v>
      </c>
      <c r="W120" s="10"/>
      <c r="X120" s="10"/>
    </row>
    <row r="121" spans="1:24" ht="15.75" customHeight="1" x14ac:dyDescent="0.25">
      <c r="A121" s="6">
        <v>8</v>
      </c>
      <c r="B121" s="125" t="s">
        <v>789</v>
      </c>
      <c r="C121" s="45">
        <v>84</v>
      </c>
      <c r="D121" s="8">
        <v>43</v>
      </c>
      <c r="E121" s="8">
        <v>54</v>
      </c>
      <c r="F121" s="8"/>
      <c r="G121" s="8"/>
      <c r="H121" s="8"/>
      <c r="I121" s="8">
        <v>67</v>
      </c>
      <c r="J121" s="15">
        <f t="shared" si="10"/>
        <v>48.8</v>
      </c>
      <c r="K121" s="8">
        <v>90</v>
      </c>
      <c r="L121" s="8">
        <v>90</v>
      </c>
      <c r="M121" s="15">
        <f t="shared" si="11"/>
        <v>9</v>
      </c>
      <c r="N121" s="8">
        <v>100</v>
      </c>
      <c r="O121" s="8">
        <v>100</v>
      </c>
      <c r="P121" s="15">
        <f t="shared" si="12"/>
        <v>10</v>
      </c>
      <c r="Q121" s="10"/>
      <c r="R121" s="201" t="str">
        <f t="shared" si="13"/>
        <v>BASICO</v>
      </c>
      <c r="S121" s="202"/>
      <c r="T121" s="202"/>
      <c r="U121" s="338"/>
      <c r="V121" s="51">
        <f t="shared" si="14"/>
        <v>67.8</v>
      </c>
      <c r="W121" s="10"/>
      <c r="X121" s="10"/>
    </row>
    <row r="122" spans="1:24" ht="15.75" customHeight="1" x14ac:dyDescent="0.25">
      <c r="A122" s="6">
        <v>9</v>
      </c>
      <c r="B122" s="116" t="s">
        <v>767</v>
      </c>
      <c r="C122" s="45">
        <v>80</v>
      </c>
      <c r="D122" s="8">
        <v>88</v>
      </c>
      <c r="E122" s="8">
        <v>79</v>
      </c>
      <c r="F122" s="8"/>
      <c r="G122" s="8"/>
      <c r="H122" s="8"/>
      <c r="I122" s="8">
        <v>40</v>
      </c>
      <c r="J122" s="15">
        <f t="shared" si="10"/>
        <v>62.48</v>
      </c>
      <c r="K122" s="8">
        <v>95</v>
      </c>
      <c r="L122" s="8">
        <v>95</v>
      </c>
      <c r="M122" s="15">
        <f t="shared" si="11"/>
        <v>9.5</v>
      </c>
      <c r="N122" s="8">
        <v>80</v>
      </c>
      <c r="O122" s="8">
        <v>80</v>
      </c>
      <c r="P122" s="15">
        <f t="shared" si="12"/>
        <v>8</v>
      </c>
      <c r="Q122" s="10"/>
      <c r="R122" s="201" t="str">
        <f t="shared" si="13"/>
        <v>ALTO</v>
      </c>
      <c r="S122" s="202"/>
      <c r="T122" s="202"/>
      <c r="U122" s="338"/>
      <c r="V122" s="51">
        <f t="shared" si="14"/>
        <v>79.97999999999999</v>
      </c>
      <c r="W122" s="10"/>
      <c r="X122" s="10"/>
    </row>
    <row r="123" spans="1:24" ht="15.75" customHeight="1" x14ac:dyDescent="0.25">
      <c r="A123" s="6">
        <v>10</v>
      </c>
      <c r="B123" s="116" t="s">
        <v>768</v>
      </c>
      <c r="C123" s="45">
        <v>47</v>
      </c>
      <c r="D123" s="8">
        <v>83</v>
      </c>
      <c r="E123" s="8">
        <v>94</v>
      </c>
      <c r="F123" s="8"/>
      <c r="G123" s="8"/>
      <c r="H123" s="8"/>
      <c r="I123" s="8">
        <v>67</v>
      </c>
      <c r="J123" s="15">
        <f t="shared" si="10"/>
        <v>59.12</v>
      </c>
      <c r="K123" s="8">
        <v>90</v>
      </c>
      <c r="L123" s="8">
        <v>90</v>
      </c>
      <c r="M123" s="15">
        <f t="shared" si="11"/>
        <v>9</v>
      </c>
      <c r="N123" s="8">
        <v>97</v>
      </c>
      <c r="O123" s="8">
        <v>97</v>
      </c>
      <c r="P123" s="15">
        <f t="shared" si="12"/>
        <v>9.7000000000000011</v>
      </c>
      <c r="Q123" s="10"/>
      <c r="R123" s="201" t="str">
        <f t="shared" si="13"/>
        <v>BASICO</v>
      </c>
      <c r="S123" s="202"/>
      <c r="T123" s="202"/>
      <c r="U123" s="338"/>
      <c r="V123" s="51">
        <f t="shared" si="14"/>
        <v>77.820000000000007</v>
      </c>
      <c r="W123" s="10"/>
      <c r="X123" s="10"/>
    </row>
    <row r="124" spans="1:24" ht="15.75" customHeight="1" x14ac:dyDescent="0.25">
      <c r="A124" s="6">
        <v>11</v>
      </c>
      <c r="B124" s="116" t="s">
        <v>378</v>
      </c>
      <c r="C124" s="45">
        <v>30</v>
      </c>
      <c r="D124" s="8">
        <v>84</v>
      </c>
      <c r="E124" s="8">
        <v>58</v>
      </c>
      <c r="F124" s="8"/>
      <c r="G124" s="8"/>
      <c r="H124" s="8"/>
      <c r="I124" s="8">
        <v>67</v>
      </c>
      <c r="J124" s="15">
        <f t="shared" si="10"/>
        <v>46.64</v>
      </c>
      <c r="K124" s="8">
        <v>96</v>
      </c>
      <c r="L124" s="8">
        <v>96</v>
      </c>
      <c r="M124" s="15">
        <f t="shared" si="11"/>
        <v>9.6000000000000014</v>
      </c>
      <c r="N124" s="8">
        <v>91</v>
      </c>
      <c r="O124" s="8">
        <v>91</v>
      </c>
      <c r="P124" s="15">
        <f t="shared" si="12"/>
        <v>9.1</v>
      </c>
      <c r="Q124" s="10"/>
      <c r="R124" s="201" t="str">
        <f t="shared" si="13"/>
        <v>BASICO</v>
      </c>
      <c r="S124" s="202"/>
      <c r="T124" s="202"/>
      <c r="U124" s="338"/>
      <c r="V124" s="51">
        <f t="shared" si="14"/>
        <v>65.34</v>
      </c>
      <c r="W124" s="10"/>
      <c r="X124" s="10"/>
    </row>
    <row r="125" spans="1:24" ht="15.75" customHeight="1" x14ac:dyDescent="0.25">
      <c r="A125" s="6">
        <v>12</v>
      </c>
      <c r="B125" s="116" t="s">
        <v>419</v>
      </c>
      <c r="C125" s="45">
        <v>53</v>
      </c>
      <c r="D125" s="8">
        <v>77</v>
      </c>
      <c r="E125" s="8">
        <v>49</v>
      </c>
      <c r="F125" s="8"/>
      <c r="G125" s="8"/>
      <c r="H125" s="8"/>
      <c r="I125" s="8">
        <v>40</v>
      </c>
      <c r="J125" s="15">
        <f t="shared" si="10"/>
        <v>46.16</v>
      </c>
      <c r="K125" s="8">
        <v>93</v>
      </c>
      <c r="L125" s="8">
        <v>93</v>
      </c>
      <c r="M125" s="15">
        <f t="shared" si="11"/>
        <v>9.3000000000000007</v>
      </c>
      <c r="N125" s="8">
        <v>80</v>
      </c>
      <c r="O125" s="8">
        <v>80</v>
      </c>
      <c r="P125" s="15">
        <f t="shared" si="12"/>
        <v>8</v>
      </c>
      <c r="Q125" s="10"/>
      <c r="R125" s="201" t="str">
        <f t="shared" si="13"/>
        <v>BAJO</v>
      </c>
      <c r="S125" s="202"/>
      <c r="T125" s="202"/>
      <c r="U125" s="338"/>
      <c r="V125" s="51">
        <f t="shared" si="14"/>
        <v>63.459999999999994</v>
      </c>
      <c r="W125" s="10"/>
      <c r="X125" s="10"/>
    </row>
    <row r="126" spans="1:24" ht="15.75" customHeight="1" x14ac:dyDescent="0.25">
      <c r="A126" s="6">
        <v>13</v>
      </c>
      <c r="B126" s="116" t="s">
        <v>330</v>
      </c>
      <c r="C126" s="45">
        <v>52</v>
      </c>
      <c r="D126" s="8">
        <v>35</v>
      </c>
      <c r="E126" s="8">
        <v>96</v>
      </c>
      <c r="F126" s="8"/>
      <c r="G126" s="8"/>
      <c r="H126" s="8"/>
      <c r="I126" s="8">
        <v>40</v>
      </c>
      <c r="J126" s="15">
        <f t="shared" si="10"/>
        <v>47.120000000000005</v>
      </c>
      <c r="K126" s="8">
        <v>89</v>
      </c>
      <c r="L126" s="8">
        <v>89</v>
      </c>
      <c r="M126" s="15">
        <f t="shared" si="11"/>
        <v>8.9</v>
      </c>
      <c r="N126" s="8">
        <v>89</v>
      </c>
      <c r="O126" s="8">
        <v>89</v>
      </c>
      <c r="P126" s="15">
        <f t="shared" si="12"/>
        <v>8.9</v>
      </c>
      <c r="Q126" s="10"/>
      <c r="R126" s="201" t="str">
        <f t="shared" si="13"/>
        <v>BAJO</v>
      </c>
      <c r="S126" s="202"/>
      <c r="T126" s="202"/>
      <c r="U126" s="338"/>
      <c r="V126" s="51">
        <f t="shared" si="14"/>
        <v>64.92</v>
      </c>
      <c r="W126" s="10"/>
      <c r="X126" s="10"/>
    </row>
    <row r="127" spans="1:24" ht="15.75" customHeight="1" x14ac:dyDescent="0.25">
      <c r="A127" s="6">
        <v>14</v>
      </c>
      <c r="B127" s="67" t="s">
        <v>380</v>
      </c>
      <c r="C127" s="45">
        <v>33</v>
      </c>
      <c r="D127" s="8">
        <v>33</v>
      </c>
      <c r="E127" s="8">
        <v>33</v>
      </c>
      <c r="F127" s="8"/>
      <c r="G127" s="8"/>
      <c r="H127" s="8"/>
      <c r="I127" s="8">
        <v>40</v>
      </c>
      <c r="J127" s="15">
        <f t="shared" si="10"/>
        <v>26.959999999999997</v>
      </c>
      <c r="K127" s="8">
        <v>65</v>
      </c>
      <c r="L127" s="8">
        <v>65</v>
      </c>
      <c r="M127" s="15">
        <f t="shared" si="11"/>
        <v>6.5</v>
      </c>
      <c r="N127" s="8">
        <v>65</v>
      </c>
      <c r="O127" s="8">
        <v>65</v>
      </c>
      <c r="P127" s="15">
        <f t="shared" si="12"/>
        <v>6.5</v>
      </c>
      <c r="Q127" s="10"/>
      <c r="R127" s="201" t="str">
        <f t="shared" si="13"/>
        <v>BAJO</v>
      </c>
      <c r="S127" s="202"/>
      <c r="T127" s="202"/>
      <c r="U127" s="338"/>
      <c r="V127" s="51">
        <f t="shared" si="14"/>
        <v>39.959999999999994</v>
      </c>
      <c r="W127" s="10"/>
      <c r="X127" s="10"/>
    </row>
    <row r="128" spans="1:24" ht="15.75" customHeight="1" x14ac:dyDescent="0.25">
      <c r="A128" s="6">
        <v>15</v>
      </c>
      <c r="B128" s="116" t="s">
        <v>770</v>
      </c>
      <c r="C128" s="45">
        <v>55</v>
      </c>
      <c r="D128" s="8">
        <v>50</v>
      </c>
      <c r="E128" s="8">
        <v>85</v>
      </c>
      <c r="F128" s="8"/>
      <c r="G128" s="8"/>
      <c r="H128" s="8"/>
      <c r="I128" s="8">
        <v>40</v>
      </c>
      <c r="J128" s="15">
        <f t="shared" si="10"/>
        <v>48.800000000000004</v>
      </c>
      <c r="K128" s="8">
        <v>80</v>
      </c>
      <c r="L128" s="8">
        <v>80</v>
      </c>
      <c r="M128" s="15">
        <f t="shared" si="11"/>
        <v>8</v>
      </c>
      <c r="N128" s="8">
        <v>81</v>
      </c>
      <c r="O128" s="8">
        <v>81</v>
      </c>
      <c r="P128" s="15">
        <f t="shared" si="12"/>
        <v>8.1</v>
      </c>
      <c r="Q128" s="10"/>
      <c r="R128" s="201" t="str">
        <f t="shared" si="13"/>
        <v>BAJO</v>
      </c>
      <c r="S128" s="202"/>
      <c r="T128" s="202"/>
      <c r="U128" s="338"/>
      <c r="V128" s="51">
        <f t="shared" si="14"/>
        <v>64.900000000000006</v>
      </c>
      <c r="W128" s="10"/>
      <c r="X128" s="10"/>
    </row>
    <row r="129" spans="1:24" ht="15.75" customHeight="1" x14ac:dyDescent="0.25">
      <c r="A129" s="6">
        <v>16</v>
      </c>
      <c r="B129" s="122" t="s">
        <v>332</v>
      </c>
      <c r="C129" s="45">
        <v>91</v>
      </c>
      <c r="D129" s="8">
        <v>94</v>
      </c>
      <c r="E129" s="8">
        <v>96</v>
      </c>
      <c r="F129" s="8"/>
      <c r="G129" s="8"/>
      <c r="H129" s="8"/>
      <c r="I129" s="8">
        <v>60</v>
      </c>
      <c r="J129" s="15">
        <f t="shared" si="10"/>
        <v>72.239999999999995</v>
      </c>
      <c r="K129" s="8">
        <v>94</v>
      </c>
      <c r="L129" s="8">
        <v>94</v>
      </c>
      <c r="M129" s="15">
        <f t="shared" si="11"/>
        <v>9.4</v>
      </c>
      <c r="N129" s="8">
        <v>81</v>
      </c>
      <c r="O129" s="8">
        <v>81</v>
      </c>
      <c r="P129" s="15">
        <f t="shared" si="12"/>
        <v>8.1</v>
      </c>
      <c r="Q129" s="10"/>
      <c r="R129" s="201" t="str">
        <f t="shared" si="13"/>
        <v>SUPERIOR</v>
      </c>
      <c r="S129" s="202"/>
      <c r="T129" s="202"/>
      <c r="U129" s="338"/>
      <c r="V129" s="51">
        <f t="shared" si="14"/>
        <v>89.74</v>
      </c>
      <c r="W129" s="10"/>
      <c r="X129" s="10"/>
    </row>
    <row r="130" spans="1:24" ht="15.75" customHeight="1" x14ac:dyDescent="0.25">
      <c r="A130" s="6">
        <v>17</v>
      </c>
      <c r="B130" s="116" t="s">
        <v>384</v>
      </c>
      <c r="C130" s="45">
        <v>83</v>
      </c>
      <c r="D130" s="8">
        <v>95</v>
      </c>
      <c r="E130" s="8">
        <v>57</v>
      </c>
      <c r="F130" s="8"/>
      <c r="G130" s="8"/>
      <c r="H130" s="8"/>
      <c r="I130" s="13">
        <v>67</v>
      </c>
      <c r="J130" s="15">
        <f t="shared" si="10"/>
        <v>61.759999999999991</v>
      </c>
      <c r="K130" s="8">
        <v>89</v>
      </c>
      <c r="L130" s="8">
        <v>89</v>
      </c>
      <c r="M130" s="15">
        <f t="shared" si="11"/>
        <v>8.9</v>
      </c>
      <c r="N130" s="8">
        <v>92</v>
      </c>
      <c r="O130" s="8">
        <v>92</v>
      </c>
      <c r="P130" s="15">
        <f t="shared" si="12"/>
        <v>9.2000000000000011</v>
      </c>
      <c r="Q130" s="10"/>
      <c r="R130" s="201" t="str">
        <f t="shared" si="13"/>
        <v>ALTO</v>
      </c>
      <c r="S130" s="202"/>
      <c r="T130" s="202"/>
      <c r="U130" s="338"/>
      <c r="V130" s="51">
        <f t="shared" si="14"/>
        <v>79.86</v>
      </c>
      <c r="W130" s="10"/>
      <c r="X130" s="10"/>
    </row>
    <row r="131" spans="1:24" ht="15.75" customHeight="1" x14ac:dyDescent="0.25">
      <c r="A131" s="6">
        <v>18</v>
      </c>
      <c r="B131" s="116" t="s">
        <v>360</v>
      </c>
      <c r="C131" s="45">
        <v>28</v>
      </c>
      <c r="D131" s="8">
        <v>96</v>
      </c>
      <c r="E131" s="8">
        <v>59</v>
      </c>
      <c r="F131" s="8"/>
      <c r="G131" s="8"/>
      <c r="H131" s="8"/>
      <c r="I131" s="8">
        <v>40</v>
      </c>
      <c r="J131" s="15">
        <f t="shared" si="10"/>
        <v>47.120000000000005</v>
      </c>
      <c r="K131" s="8">
        <v>89</v>
      </c>
      <c r="L131" s="8">
        <v>89</v>
      </c>
      <c r="M131" s="15">
        <f t="shared" si="11"/>
        <v>8.9</v>
      </c>
      <c r="N131" s="8">
        <v>87</v>
      </c>
      <c r="O131" s="8">
        <v>87</v>
      </c>
      <c r="P131" s="15">
        <f t="shared" si="12"/>
        <v>8.7000000000000011</v>
      </c>
      <c r="Q131" s="10"/>
      <c r="R131" s="201" t="str">
        <f t="shared" si="13"/>
        <v>BAJO</v>
      </c>
      <c r="S131" s="202"/>
      <c r="T131" s="202"/>
      <c r="U131" s="338"/>
      <c r="V131" s="51">
        <f t="shared" si="14"/>
        <v>64.72</v>
      </c>
      <c r="W131" s="10"/>
      <c r="X131" s="10"/>
    </row>
    <row r="132" spans="1:24" ht="15.75" customHeight="1" x14ac:dyDescent="0.25">
      <c r="A132" s="6">
        <v>19</v>
      </c>
      <c r="B132" s="116" t="s">
        <v>771</v>
      </c>
      <c r="C132" s="45">
        <v>100</v>
      </c>
      <c r="D132" s="8">
        <v>100</v>
      </c>
      <c r="E132" s="8">
        <v>100</v>
      </c>
      <c r="F132" s="8"/>
      <c r="G132" s="8"/>
      <c r="H132" s="8"/>
      <c r="I132" s="8">
        <v>67</v>
      </c>
      <c r="J132" s="15">
        <f t="shared" si="10"/>
        <v>77.36</v>
      </c>
      <c r="K132" s="8">
        <v>65</v>
      </c>
      <c r="L132" s="8">
        <v>65</v>
      </c>
      <c r="M132" s="15">
        <f t="shared" si="11"/>
        <v>6.5</v>
      </c>
      <c r="N132" s="8">
        <v>65</v>
      </c>
      <c r="O132" s="8">
        <v>65</v>
      </c>
      <c r="P132" s="15">
        <f t="shared" si="12"/>
        <v>6.5</v>
      </c>
      <c r="Q132" s="10"/>
      <c r="R132" s="201" t="str">
        <f t="shared" si="13"/>
        <v>SUPERIOR</v>
      </c>
      <c r="S132" s="202"/>
      <c r="T132" s="202"/>
      <c r="U132" s="338"/>
      <c r="V132" s="51">
        <f t="shared" si="14"/>
        <v>90.36</v>
      </c>
      <c r="W132" s="10"/>
      <c r="X132" s="10"/>
    </row>
    <row r="133" spans="1:24" ht="15.75" customHeight="1" x14ac:dyDescent="0.25">
      <c r="A133" s="6">
        <v>20</v>
      </c>
      <c r="B133" s="116" t="s">
        <v>361</v>
      </c>
      <c r="C133" s="45">
        <v>63</v>
      </c>
      <c r="D133" s="8">
        <v>67</v>
      </c>
      <c r="E133" s="8">
        <v>58</v>
      </c>
      <c r="F133" s="8"/>
      <c r="G133" s="8"/>
      <c r="H133" s="8"/>
      <c r="I133" s="8">
        <v>40</v>
      </c>
      <c r="J133" s="15">
        <f t="shared" si="10"/>
        <v>48.32</v>
      </c>
      <c r="K133" s="8">
        <v>81</v>
      </c>
      <c r="L133" s="8">
        <v>81</v>
      </c>
      <c r="M133" s="15">
        <f t="shared" si="11"/>
        <v>8.1</v>
      </c>
      <c r="N133" s="8">
        <v>89</v>
      </c>
      <c r="O133" s="8">
        <v>89</v>
      </c>
      <c r="P133" s="15">
        <f t="shared" si="12"/>
        <v>8.9</v>
      </c>
      <c r="Q133" s="10"/>
      <c r="R133" s="201" t="str">
        <f t="shared" si="13"/>
        <v>BASICO</v>
      </c>
      <c r="S133" s="202"/>
      <c r="T133" s="202"/>
      <c r="U133" s="338"/>
      <c r="V133" s="51">
        <f t="shared" si="14"/>
        <v>65.320000000000007</v>
      </c>
      <c r="W133" s="10"/>
      <c r="X133" s="10"/>
    </row>
    <row r="134" spans="1:24" ht="15.75" customHeight="1" x14ac:dyDescent="0.25">
      <c r="A134" s="6">
        <v>21</v>
      </c>
      <c r="B134" s="116" t="s">
        <v>385</v>
      </c>
      <c r="C134" s="45">
        <v>84</v>
      </c>
      <c r="D134" s="8">
        <v>31</v>
      </c>
      <c r="E134" s="8">
        <v>73</v>
      </c>
      <c r="F134" s="8"/>
      <c r="G134" s="8"/>
      <c r="H134" s="8"/>
      <c r="I134" s="8">
        <v>40</v>
      </c>
      <c r="J134" s="15">
        <f t="shared" si="10"/>
        <v>48.32</v>
      </c>
      <c r="K134" s="8">
        <v>96</v>
      </c>
      <c r="L134" s="8">
        <v>96</v>
      </c>
      <c r="M134" s="15">
        <f t="shared" si="11"/>
        <v>9.6000000000000014</v>
      </c>
      <c r="N134" s="8">
        <v>66</v>
      </c>
      <c r="O134" s="8">
        <v>66</v>
      </c>
      <c r="P134" s="15">
        <f t="shared" si="12"/>
        <v>6.6000000000000005</v>
      </c>
      <c r="Q134" s="10"/>
      <c r="R134" s="201" t="str">
        <f t="shared" si="13"/>
        <v>BAJO</v>
      </c>
      <c r="S134" s="202"/>
      <c r="T134" s="202"/>
      <c r="U134" s="338"/>
      <c r="V134" s="51">
        <f t="shared" si="14"/>
        <v>64.52</v>
      </c>
      <c r="W134" s="10"/>
      <c r="X134" s="10"/>
    </row>
    <row r="135" spans="1:24" ht="15.75" customHeight="1" x14ac:dyDescent="0.25">
      <c r="A135" s="6">
        <v>22</v>
      </c>
      <c r="B135" s="116" t="s">
        <v>386</v>
      </c>
      <c r="C135" s="45">
        <v>92</v>
      </c>
      <c r="D135" s="8">
        <v>94</v>
      </c>
      <c r="E135" s="8">
        <v>97</v>
      </c>
      <c r="F135" s="8"/>
      <c r="G135" s="8"/>
      <c r="H135" s="8"/>
      <c r="I135" s="8">
        <v>60</v>
      </c>
      <c r="J135" s="15">
        <f t="shared" si="10"/>
        <v>72.719999999999985</v>
      </c>
      <c r="K135" s="8">
        <v>99</v>
      </c>
      <c r="L135" s="8">
        <v>99</v>
      </c>
      <c r="M135" s="15">
        <f t="shared" si="11"/>
        <v>9.9</v>
      </c>
      <c r="N135" s="8">
        <v>69</v>
      </c>
      <c r="O135" s="8">
        <v>69</v>
      </c>
      <c r="P135" s="15">
        <f t="shared" si="12"/>
        <v>6.9</v>
      </c>
      <c r="Q135" s="10"/>
      <c r="R135" s="201" t="str">
        <f t="shared" si="13"/>
        <v>SUPERIOR</v>
      </c>
      <c r="S135" s="202"/>
      <c r="T135" s="202"/>
      <c r="U135" s="338"/>
      <c r="V135" s="51">
        <f t="shared" si="14"/>
        <v>89.52</v>
      </c>
      <c r="W135" s="10"/>
      <c r="X135" s="10"/>
    </row>
    <row r="136" spans="1:24" ht="15.75" customHeight="1" x14ac:dyDescent="0.25">
      <c r="A136" s="6">
        <v>23</v>
      </c>
      <c r="B136" s="116" t="s">
        <v>204</v>
      </c>
      <c r="C136" s="45">
        <v>99</v>
      </c>
      <c r="D136" s="8">
        <v>90</v>
      </c>
      <c r="E136" s="8">
        <v>53</v>
      </c>
      <c r="F136" s="8"/>
      <c r="G136" s="8"/>
      <c r="H136" s="8"/>
      <c r="I136" s="8">
        <v>40</v>
      </c>
      <c r="J136" s="15">
        <f t="shared" si="10"/>
        <v>61.28</v>
      </c>
      <c r="K136" s="8">
        <v>82</v>
      </c>
      <c r="L136" s="8">
        <v>82</v>
      </c>
      <c r="M136" s="15">
        <f t="shared" si="11"/>
        <v>8.2000000000000011</v>
      </c>
      <c r="N136" s="8">
        <v>85</v>
      </c>
      <c r="O136" s="8">
        <v>85</v>
      </c>
      <c r="P136" s="15">
        <f t="shared" si="12"/>
        <v>8.5</v>
      </c>
      <c r="Q136" s="10"/>
      <c r="R136" s="201" t="str">
        <f t="shared" si="13"/>
        <v>BASICO</v>
      </c>
      <c r="S136" s="202"/>
      <c r="T136" s="202"/>
      <c r="U136" s="338"/>
      <c r="V136" s="51">
        <f t="shared" si="14"/>
        <v>77.98</v>
      </c>
      <c r="W136" s="10"/>
      <c r="X136" s="10"/>
    </row>
    <row r="137" spans="1:24" ht="15.75" customHeight="1" x14ac:dyDescent="0.25">
      <c r="A137" s="6">
        <v>24</v>
      </c>
      <c r="B137" s="116" t="s">
        <v>772</v>
      </c>
      <c r="C137" s="45">
        <v>87</v>
      </c>
      <c r="D137" s="8">
        <v>90</v>
      </c>
      <c r="E137" s="8">
        <v>78</v>
      </c>
      <c r="F137" s="8"/>
      <c r="G137" s="8"/>
      <c r="H137" s="8"/>
      <c r="I137" s="8">
        <v>80</v>
      </c>
      <c r="J137" s="15">
        <f t="shared" si="10"/>
        <v>67.599999999999994</v>
      </c>
      <c r="K137" s="8">
        <v>99</v>
      </c>
      <c r="L137" s="8">
        <v>99</v>
      </c>
      <c r="M137" s="15">
        <f t="shared" si="11"/>
        <v>9.9</v>
      </c>
      <c r="N137" s="8">
        <v>89</v>
      </c>
      <c r="O137" s="8">
        <v>89</v>
      </c>
      <c r="P137" s="15">
        <f t="shared" si="12"/>
        <v>8.9</v>
      </c>
      <c r="Q137" s="10"/>
      <c r="R137" s="201" t="str">
        <f t="shared" si="13"/>
        <v>ALTO</v>
      </c>
      <c r="S137" s="202"/>
      <c r="T137" s="202"/>
      <c r="U137" s="338"/>
      <c r="V137" s="51">
        <f t="shared" si="14"/>
        <v>86.4</v>
      </c>
      <c r="W137" s="10"/>
      <c r="X137" s="10"/>
    </row>
    <row r="138" spans="1:24" ht="15.75" customHeight="1" x14ac:dyDescent="0.25">
      <c r="A138" s="6">
        <v>25</v>
      </c>
      <c r="B138" s="116" t="s">
        <v>410</v>
      </c>
      <c r="C138" s="45">
        <v>26</v>
      </c>
      <c r="D138" s="8">
        <v>59</v>
      </c>
      <c r="E138" s="8">
        <v>100</v>
      </c>
      <c r="F138" s="8"/>
      <c r="G138" s="8"/>
      <c r="H138" s="8"/>
      <c r="I138" s="8">
        <v>40</v>
      </c>
      <c r="J138" s="15">
        <f t="shared" si="10"/>
        <v>47.6</v>
      </c>
      <c r="K138" s="8">
        <v>92</v>
      </c>
      <c r="L138" s="8">
        <v>92</v>
      </c>
      <c r="M138" s="15">
        <f t="shared" si="11"/>
        <v>9.2000000000000011</v>
      </c>
      <c r="N138" s="8">
        <v>82</v>
      </c>
      <c r="O138" s="8">
        <v>82</v>
      </c>
      <c r="P138" s="15">
        <f t="shared" si="12"/>
        <v>8.2000000000000011</v>
      </c>
      <c r="Q138" s="10"/>
      <c r="R138" s="201" t="str">
        <f t="shared" si="13"/>
        <v>BASICO</v>
      </c>
      <c r="S138" s="202"/>
      <c r="T138" s="202"/>
      <c r="U138" s="338"/>
      <c r="V138" s="51">
        <f t="shared" si="14"/>
        <v>65</v>
      </c>
      <c r="W138" s="10"/>
      <c r="X138" s="10"/>
    </row>
    <row r="139" spans="1:24" ht="15.75" customHeight="1" x14ac:dyDescent="0.25">
      <c r="A139" s="6">
        <v>26</v>
      </c>
      <c r="B139" s="122" t="s">
        <v>205</v>
      </c>
      <c r="C139" s="45">
        <v>29</v>
      </c>
      <c r="D139" s="8">
        <v>93</v>
      </c>
      <c r="E139" s="8">
        <v>68</v>
      </c>
      <c r="F139" s="8"/>
      <c r="G139" s="8"/>
      <c r="H139" s="8"/>
      <c r="I139" s="8">
        <v>40</v>
      </c>
      <c r="J139" s="15">
        <f t="shared" si="10"/>
        <v>48.800000000000004</v>
      </c>
      <c r="K139" s="8">
        <v>93</v>
      </c>
      <c r="L139" s="8">
        <v>93</v>
      </c>
      <c r="M139" s="15">
        <f t="shared" si="11"/>
        <v>9.3000000000000007</v>
      </c>
      <c r="N139" s="8">
        <v>71</v>
      </c>
      <c r="O139" s="8">
        <v>71</v>
      </c>
      <c r="P139" s="15">
        <f t="shared" si="12"/>
        <v>7.1000000000000005</v>
      </c>
      <c r="Q139" s="10"/>
      <c r="R139" s="201" t="str">
        <f t="shared" si="13"/>
        <v>BASICO</v>
      </c>
      <c r="S139" s="202"/>
      <c r="T139" s="202"/>
      <c r="U139" s="338"/>
      <c r="V139" s="51">
        <f t="shared" si="14"/>
        <v>65.2</v>
      </c>
      <c r="W139" s="10"/>
      <c r="X139" s="10"/>
    </row>
    <row r="140" spans="1:24" ht="15.75" customHeight="1" x14ac:dyDescent="0.25">
      <c r="A140" s="6">
        <v>27</v>
      </c>
      <c r="B140" s="116" t="s">
        <v>362</v>
      </c>
      <c r="C140" s="45">
        <v>96</v>
      </c>
      <c r="D140" s="8">
        <v>92</v>
      </c>
      <c r="E140" s="8">
        <v>100</v>
      </c>
      <c r="F140" s="8"/>
      <c r="G140" s="8"/>
      <c r="H140" s="8"/>
      <c r="I140" s="8">
        <v>40</v>
      </c>
      <c r="J140" s="15">
        <f t="shared" si="10"/>
        <v>72.320000000000007</v>
      </c>
      <c r="K140" s="8">
        <v>91</v>
      </c>
      <c r="L140" s="8">
        <v>91</v>
      </c>
      <c r="M140" s="15">
        <f t="shared" si="11"/>
        <v>9.1</v>
      </c>
      <c r="N140" s="8">
        <v>87</v>
      </c>
      <c r="O140" s="8">
        <v>87</v>
      </c>
      <c r="P140" s="15">
        <f t="shared" si="12"/>
        <v>8.7000000000000011</v>
      </c>
      <c r="Q140" s="10"/>
      <c r="R140" s="201" t="str">
        <f t="shared" si="13"/>
        <v>SUPERIOR</v>
      </c>
      <c r="S140" s="202"/>
      <c r="T140" s="202"/>
      <c r="U140" s="338"/>
      <c r="V140" s="51">
        <f t="shared" si="14"/>
        <v>90.12</v>
      </c>
      <c r="W140" s="10"/>
      <c r="X140" s="10"/>
    </row>
    <row r="141" spans="1:24" ht="15.75" customHeight="1" x14ac:dyDescent="0.25">
      <c r="A141" s="6">
        <v>28</v>
      </c>
      <c r="B141" s="116" t="s">
        <v>363</v>
      </c>
      <c r="C141" s="45">
        <v>100</v>
      </c>
      <c r="D141" s="8">
        <v>42</v>
      </c>
      <c r="E141" s="8">
        <v>53</v>
      </c>
      <c r="F141" s="8"/>
      <c r="G141" s="8"/>
      <c r="H141" s="8"/>
      <c r="I141" s="8">
        <v>0</v>
      </c>
      <c r="J141" s="15">
        <f t="shared" si="10"/>
        <v>46.8</v>
      </c>
      <c r="K141" s="8">
        <v>81</v>
      </c>
      <c r="L141" s="8">
        <v>81</v>
      </c>
      <c r="M141" s="15">
        <f t="shared" si="11"/>
        <v>8.1</v>
      </c>
      <c r="N141" s="8">
        <v>84</v>
      </c>
      <c r="O141" s="8">
        <v>84</v>
      </c>
      <c r="P141" s="15">
        <f t="shared" si="12"/>
        <v>8.4</v>
      </c>
      <c r="Q141" s="10"/>
      <c r="R141" s="201" t="str">
        <f t="shared" si="13"/>
        <v>BAJO</v>
      </c>
      <c r="S141" s="202"/>
      <c r="T141" s="202"/>
      <c r="U141" s="338"/>
      <c r="V141" s="51">
        <f t="shared" si="14"/>
        <v>63.3</v>
      </c>
      <c r="W141" s="10"/>
      <c r="X141" s="10"/>
    </row>
    <row r="142" spans="1:24" ht="15.75" customHeight="1" x14ac:dyDescent="0.25">
      <c r="A142" s="6">
        <v>29</v>
      </c>
      <c r="B142" s="116" t="s">
        <v>387</v>
      </c>
      <c r="C142" s="45">
        <v>100</v>
      </c>
      <c r="D142" s="8">
        <v>100</v>
      </c>
      <c r="E142" s="8">
        <v>100</v>
      </c>
      <c r="F142" s="8"/>
      <c r="G142" s="8"/>
      <c r="H142" s="8"/>
      <c r="I142" s="8">
        <v>40</v>
      </c>
      <c r="J142" s="15">
        <f t="shared" si="10"/>
        <v>75.2</v>
      </c>
      <c r="K142" s="8">
        <v>65</v>
      </c>
      <c r="L142" s="8">
        <v>65</v>
      </c>
      <c r="M142" s="15">
        <f t="shared" si="11"/>
        <v>6.5</v>
      </c>
      <c r="N142" s="8">
        <v>65</v>
      </c>
      <c r="O142" s="8">
        <v>65</v>
      </c>
      <c r="P142" s="15">
        <f t="shared" si="12"/>
        <v>6.5</v>
      </c>
      <c r="Q142" s="10"/>
      <c r="R142" s="201" t="str">
        <f t="shared" si="13"/>
        <v>ALTO</v>
      </c>
      <c r="S142" s="202"/>
      <c r="T142" s="202"/>
      <c r="U142" s="338"/>
      <c r="V142" s="51">
        <f t="shared" si="14"/>
        <v>88.2</v>
      </c>
      <c r="W142" s="10"/>
      <c r="X142" s="10"/>
    </row>
    <row r="143" spans="1:24" ht="15.75" customHeight="1" x14ac:dyDescent="0.25">
      <c r="A143" s="6">
        <v>30</v>
      </c>
      <c r="B143" s="116" t="s">
        <v>388</v>
      </c>
      <c r="C143" s="45">
        <v>100</v>
      </c>
      <c r="D143" s="8">
        <v>100</v>
      </c>
      <c r="E143" s="8">
        <v>100</v>
      </c>
      <c r="F143" s="8"/>
      <c r="G143" s="8"/>
      <c r="H143" s="8"/>
      <c r="I143" s="8">
        <v>67</v>
      </c>
      <c r="J143" s="15">
        <f t="shared" si="10"/>
        <v>77.36</v>
      </c>
      <c r="K143" s="8">
        <v>65</v>
      </c>
      <c r="L143" s="8">
        <v>65</v>
      </c>
      <c r="M143" s="15">
        <f t="shared" si="11"/>
        <v>6.5</v>
      </c>
      <c r="N143" s="8">
        <v>65</v>
      </c>
      <c r="O143" s="8">
        <v>65</v>
      </c>
      <c r="P143" s="15">
        <f t="shared" si="12"/>
        <v>6.5</v>
      </c>
      <c r="Q143" s="10"/>
      <c r="R143" s="201" t="str">
        <f t="shared" si="13"/>
        <v>SUPERIOR</v>
      </c>
      <c r="S143" s="202"/>
      <c r="T143" s="202"/>
      <c r="U143" s="338"/>
      <c r="V143" s="51">
        <f t="shared" si="14"/>
        <v>90.36</v>
      </c>
      <c r="W143" s="10"/>
      <c r="X143" s="10"/>
    </row>
    <row r="144" spans="1:24" ht="15.75" customHeight="1" x14ac:dyDescent="0.25">
      <c r="A144" s="6">
        <v>31</v>
      </c>
      <c r="B144" s="116" t="s">
        <v>364</v>
      </c>
      <c r="C144" s="45">
        <v>99</v>
      </c>
      <c r="D144" s="8">
        <v>93</v>
      </c>
      <c r="E144" s="8">
        <v>89</v>
      </c>
      <c r="F144" s="8"/>
      <c r="G144" s="8"/>
      <c r="H144" s="8"/>
      <c r="I144" s="8">
        <v>40</v>
      </c>
      <c r="J144" s="15">
        <f t="shared" si="10"/>
        <v>70.64</v>
      </c>
      <c r="K144" s="8">
        <v>96</v>
      </c>
      <c r="L144" s="8">
        <v>96</v>
      </c>
      <c r="M144" s="15">
        <f t="shared" si="11"/>
        <v>9.6000000000000014</v>
      </c>
      <c r="N144" s="8">
        <v>98</v>
      </c>
      <c r="O144" s="8">
        <v>98</v>
      </c>
      <c r="P144" s="15">
        <f t="shared" si="12"/>
        <v>9.8000000000000007</v>
      </c>
      <c r="Q144" s="10"/>
      <c r="R144" s="201" t="str">
        <f t="shared" si="13"/>
        <v>SUPERIOR</v>
      </c>
      <c r="S144" s="202"/>
      <c r="T144" s="202"/>
      <c r="U144" s="338"/>
      <c r="V144" s="51">
        <f t="shared" si="14"/>
        <v>90.04</v>
      </c>
      <c r="W144" s="10"/>
      <c r="X144" s="10"/>
    </row>
    <row r="145" spans="1:24" ht="15.75" customHeight="1" x14ac:dyDescent="0.25">
      <c r="A145" s="6">
        <v>32</v>
      </c>
      <c r="B145" s="116" t="s">
        <v>389</v>
      </c>
      <c r="C145" s="45">
        <v>31</v>
      </c>
      <c r="D145" s="8">
        <v>72</v>
      </c>
      <c r="E145" s="8">
        <v>92</v>
      </c>
      <c r="F145" s="8"/>
      <c r="G145" s="8"/>
      <c r="H145" s="8"/>
      <c r="I145" s="8">
        <v>40</v>
      </c>
      <c r="J145" s="15">
        <f t="shared" si="10"/>
        <v>50</v>
      </c>
      <c r="K145" s="8">
        <v>81</v>
      </c>
      <c r="L145" s="8">
        <v>81</v>
      </c>
      <c r="M145" s="15">
        <f t="shared" si="11"/>
        <v>8.1</v>
      </c>
      <c r="N145" s="8">
        <v>81</v>
      </c>
      <c r="O145" s="8">
        <v>81</v>
      </c>
      <c r="P145" s="15">
        <f t="shared" si="12"/>
        <v>8.1</v>
      </c>
      <c r="Q145" s="10"/>
      <c r="R145" s="201" t="str">
        <f t="shared" si="13"/>
        <v>BASICO</v>
      </c>
      <c r="S145" s="202"/>
      <c r="T145" s="202"/>
      <c r="U145" s="338"/>
      <c r="V145" s="51">
        <f t="shared" si="14"/>
        <v>66.2</v>
      </c>
      <c r="W145" s="10"/>
      <c r="X145" s="10"/>
    </row>
    <row r="146" spans="1:24" ht="15.75" customHeight="1" x14ac:dyDescent="0.25">
      <c r="A146" s="6">
        <v>33</v>
      </c>
      <c r="B146" s="116"/>
      <c r="C146" s="45"/>
      <c r="D146" s="8"/>
      <c r="E146" s="8"/>
      <c r="F146" s="8"/>
      <c r="G146" s="8"/>
      <c r="H146" s="8"/>
      <c r="I146" s="8"/>
      <c r="J146" s="15" t="e">
        <f t="shared" si="10"/>
        <v>#DIV/0!</v>
      </c>
      <c r="K146" s="8"/>
      <c r="L146" s="8"/>
      <c r="M146" s="15" t="e">
        <f t="shared" si="11"/>
        <v>#DIV/0!</v>
      </c>
      <c r="N146" s="8"/>
      <c r="O146" s="8"/>
      <c r="P146" s="15" t="e">
        <f t="shared" si="12"/>
        <v>#DIV/0!</v>
      </c>
      <c r="Q146" s="10"/>
      <c r="R146" s="201" t="e">
        <f t="shared" si="13"/>
        <v>#DIV/0!</v>
      </c>
      <c r="S146" s="202"/>
      <c r="T146" s="202"/>
      <c r="U146" s="338"/>
      <c r="V146" s="51" t="e">
        <f t="shared" si="14"/>
        <v>#DIV/0!</v>
      </c>
      <c r="W146" s="10"/>
      <c r="X146" s="10"/>
    </row>
    <row r="147" spans="1:24" ht="15.75" customHeight="1" x14ac:dyDescent="0.25">
      <c r="A147" s="6">
        <v>34</v>
      </c>
      <c r="B147" s="116"/>
      <c r="C147" s="45"/>
      <c r="D147" s="8"/>
      <c r="E147" s="8"/>
      <c r="F147" s="8"/>
      <c r="G147" s="8"/>
      <c r="H147" s="8"/>
      <c r="I147" s="8"/>
      <c r="J147" s="15" t="e">
        <f t="shared" si="10"/>
        <v>#DIV/0!</v>
      </c>
      <c r="K147" s="8"/>
      <c r="L147" s="8"/>
      <c r="M147" s="15" t="e">
        <f t="shared" si="11"/>
        <v>#DIV/0!</v>
      </c>
      <c r="N147" s="8"/>
      <c r="O147" s="8"/>
      <c r="P147" s="15" t="e">
        <f t="shared" si="12"/>
        <v>#DIV/0!</v>
      </c>
      <c r="Q147" s="10"/>
      <c r="R147" s="201" t="e">
        <f t="shared" si="13"/>
        <v>#DIV/0!</v>
      </c>
      <c r="S147" s="202"/>
      <c r="T147" s="202"/>
      <c r="U147" s="338"/>
      <c r="V147" s="51" t="e">
        <f t="shared" si="14"/>
        <v>#DIV/0!</v>
      </c>
      <c r="W147" s="10"/>
      <c r="X147" s="10"/>
    </row>
    <row r="148" spans="1:24" ht="15.75" customHeight="1" x14ac:dyDescent="0.25">
      <c r="A148" s="6">
        <v>35</v>
      </c>
      <c r="B148" s="116"/>
      <c r="C148" s="45"/>
      <c r="D148" s="8"/>
      <c r="E148" s="8"/>
      <c r="F148" s="8"/>
      <c r="G148" s="8"/>
      <c r="H148" s="8"/>
      <c r="I148" s="8"/>
      <c r="J148" s="15" t="e">
        <f t="shared" si="10"/>
        <v>#DIV/0!</v>
      </c>
      <c r="K148" s="8"/>
      <c r="L148" s="8"/>
      <c r="M148" s="15" t="e">
        <f t="shared" si="11"/>
        <v>#DIV/0!</v>
      </c>
      <c r="N148" s="8"/>
      <c r="O148" s="8"/>
      <c r="P148" s="15" t="e">
        <f t="shared" si="12"/>
        <v>#DIV/0!</v>
      </c>
      <c r="Q148" s="10"/>
      <c r="R148" s="201" t="e">
        <f t="shared" si="13"/>
        <v>#DIV/0!</v>
      </c>
      <c r="S148" s="202"/>
      <c r="T148" s="202"/>
      <c r="U148" s="338"/>
      <c r="V148" s="51" t="e">
        <f t="shared" si="14"/>
        <v>#DIV/0!</v>
      </c>
      <c r="W148" s="10"/>
      <c r="X148" s="10"/>
    </row>
    <row r="149" spans="1:24" ht="15.75" customHeight="1" x14ac:dyDescent="0.25">
      <c r="A149" s="6">
        <v>36</v>
      </c>
      <c r="B149" s="116"/>
      <c r="C149" s="45"/>
      <c r="D149" s="8"/>
      <c r="E149" s="8"/>
      <c r="F149" s="8"/>
      <c r="G149" s="8"/>
      <c r="H149" s="8"/>
      <c r="I149" s="8"/>
      <c r="J149" s="15" t="e">
        <f t="shared" si="10"/>
        <v>#DIV/0!</v>
      </c>
      <c r="K149" s="8"/>
      <c r="L149" s="8"/>
      <c r="M149" s="15" t="e">
        <f t="shared" si="11"/>
        <v>#DIV/0!</v>
      </c>
      <c r="N149" s="8"/>
      <c r="O149" s="8"/>
      <c r="P149" s="15" t="e">
        <f t="shared" si="12"/>
        <v>#DIV/0!</v>
      </c>
      <c r="Q149" s="10"/>
      <c r="R149" s="201" t="e">
        <f t="shared" si="13"/>
        <v>#DIV/0!</v>
      </c>
      <c r="S149" s="202"/>
      <c r="T149" s="202"/>
      <c r="U149" s="338"/>
      <c r="V149" s="51" t="e">
        <f t="shared" si="14"/>
        <v>#DIV/0!</v>
      </c>
      <c r="W149" s="10"/>
      <c r="X149" s="10"/>
    </row>
    <row r="150" spans="1:24" ht="15.75" customHeight="1" x14ac:dyDescent="0.25">
      <c r="A150" s="6">
        <v>37</v>
      </c>
      <c r="B150" s="116"/>
      <c r="C150" s="45"/>
      <c r="D150" s="8"/>
      <c r="E150" s="8"/>
      <c r="F150" s="8"/>
      <c r="G150" s="8"/>
      <c r="H150" s="8"/>
      <c r="I150" s="8"/>
      <c r="J150" s="15" t="e">
        <f t="shared" si="10"/>
        <v>#DIV/0!</v>
      </c>
      <c r="K150" s="8"/>
      <c r="L150" s="8"/>
      <c r="M150" s="15" t="e">
        <f t="shared" si="11"/>
        <v>#DIV/0!</v>
      </c>
      <c r="N150" s="8"/>
      <c r="O150" s="8"/>
      <c r="P150" s="15" t="e">
        <f t="shared" si="12"/>
        <v>#DIV/0!</v>
      </c>
      <c r="Q150" s="10"/>
      <c r="R150" s="201" t="e">
        <f t="shared" si="13"/>
        <v>#DIV/0!</v>
      </c>
      <c r="S150" s="202"/>
      <c r="T150" s="202"/>
      <c r="U150" s="338"/>
      <c r="V150" s="51" t="e">
        <f t="shared" si="14"/>
        <v>#DIV/0!</v>
      </c>
      <c r="W150" s="10"/>
      <c r="X150" s="10"/>
    </row>
    <row r="151" spans="1:24" ht="15.75" customHeight="1" x14ac:dyDescent="0.25">
      <c r="A151" s="6">
        <v>38</v>
      </c>
      <c r="B151" s="94"/>
      <c r="C151" s="45"/>
      <c r="D151" s="8"/>
      <c r="E151" s="8"/>
      <c r="F151" s="8"/>
      <c r="G151" s="8"/>
      <c r="H151" s="8"/>
      <c r="I151" s="8"/>
      <c r="J151" s="15" t="e">
        <f t="shared" si="10"/>
        <v>#DIV/0!</v>
      </c>
      <c r="K151" s="8"/>
      <c r="L151" s="8"/>
      <c r="M151" s="15" t="e">
        <f t="shared" si="11"/>
        <v>#DIV/0!</v>
      </c>
      <c r="N151" s="8"/>
      <c r="O151" s="8"/>
      <c r="P151" s="15" t="e">
        <f t="shared" si="12"/>
        <v>#DIV/0!</v>
      </c>
      <c r="Q151" s="10"/>
      <c r="R151" s="201" t="e">
        <f t="shared" si="13"/>
        <v>#DIV/0!</v>
      </c>
      <c r="S151" s="202"/>
      <c r="T151" s="202"/>
      <c r="U151" s="338"/>
      <c r="V151" s="51" t="e">
        <f t="shared" si="14"/>
        <v>#DIV/0!</v>
      </c>
      <c r="W151" s="10"/>
      <c r="X151" s="10"/>
    </row>
    <row r="152" spans="1:24" ht="15.75" customHeight="1" x14ac:dyDescent="0.25">
      <c r="A152" s="6">
        <v>39</v>
      </c>
      <c r="B152" s="94"/>
      <c r="C152" s="45"/>
      <c r="D152" s="8"/>
      <c r="E152" s="8"/>
      <c r="F152" s="8"/>
      <c r="G152" s="8"/>
      <c r="H152" s="8"/>
      <c r="I152" s="8"/>
      <c r="J152" s="15" t="e">
        <f t="shared" si="10"/>
        <v>#DIV/0!</v>
      </c>
      <c r="K152" s="8"/>
      <c r="L152" s="8"/>
      <c r="M152" s="15" t="e">
        <f t="shared" si="11"/>
        <v>#DIV/0!</v>
      </c>
      <c r="N152" s="8"/>
      <c r="O152" s="8"/>
      <c r="P152" s="15" t="e">
        <f t="shared" si="12"/>
        <v>#DIV/0!</v>
      </c>
      <c r="Q152" s="10"/>
      <c r="R152" s="201" t="e">
        <f t="shared" si="13"/>
        <v>#DIV/0!</v>
      </c>
      <c r="S152" s="202"/>
      <c r="T152" s="202"/>
      <c r="U152" s="338"/>
      <c r="V152" s="51" t="e">
        <f t="shared" si="14"/>
        <v>#DIV/0!</v>
      </c>
      <c r="W152" s="10"/>
      <c r="X152" s="10"/>
    </row>
    <row r="153" spans="1:24" ht="15.75" customHeight="1" x14ac:dyDescent="0.25">
      <c r="A153" s="6">
        <v>40</v>
      </c>
      <c r="B153" s="94"/>
      <c r="C153" s="45"/>
      <c r="D153" s="8"/>
      <c r="E153" s="8"/>
      <c r="F153" s="8"/>
      <c r="G153" s="8"/>
      <c r="H153" s="8"/>
      <c r="I153" s="8"/>
      <c r="J153" s="15" t="e">
        <f t="shared" si="10"/>
        <v>#DIV/0!</v>
      </c>
      <c r="K153" s="8"/>
      <c r="L153" s="8"/>
      <c r="M153" s="15" t="e">
        <f t="shared" si="11"/>
        <v>#DIV/0!</v>
      </c>
      <c r="N153" s="8"/>
      <c r="O153" s="8"/>
      <c r="P153" s="15" t="e">
        <f t="shared" si="12"/>
        <v>#DIV/0!</v>
      </c>
      <c r="Q153" s="10"/>
      <c r="R153" s="201" t="e">
        <f t="shared" si="13"/>
        <v>#DIV/0!</v>
      </c>
      <c r="S153" s="202"/>
      <c r="T153" s="202"/>
      <c r="U153" s="338"/>
      <c r="V153" s="51" t="e">
        <f t="shared" si="14"/>
        <v>#DIV/0!</v>
      </c>
      <c r="W153" s="10"/>
      <c r="X153" s="10"/>
    </row>
    <row r="154" spans="1:24" ht="15.75" customHeight="1" x14ac:dyDescent="0.25">
      <c r="A154" s="6">
        <v>41</v>
      </c>
      <c r="B154" s="94"/>
      <c r="C154" s="45"/>
      <c r="D154" s="8"/>
      <c r="E154" s="8"/>
      <c r="F154" s="8"/>
      <c r="G154" s="8"/>
      <c r="H154" s="8"/>
      <c r="I154" s="8"/>
      <c r="J154" s="15" t="e">
        <f t="shared" si="10"/>
        <v>#DIV/0!</v>
      </c>
      <c r="K154" s="8"/>
      <c r="L154" s="8"/>
      <c r="M154" s="15" t="e">
        <f t="shared" si="11"/>
        <v>#DIV/0!</v>
      </c>
      <c r="N154" s="8"/>
      <c r="O154" s="8"/>
      <c r="P154" s="15" t="e">
        <f t="shared" si="12"/>
        <v>#DIV/0!</v>
      </c>
      <c r="Q154" s="10"/>
      <c r="R154" s="201" t="e">
        <f t="shared" si="13"/>
        <v>#DIV/0!</v>
      </c>
      <c r="S154" s="202"/>
      <c r="T154" s="202"/>
      <c r="U154" s="338"/>
      <c r="V154" s="51" t="e">
        <f t="shared" si="14"/>
        <v>#DIV/0!</v>
      </c>
      <c r="W154" s="10"/>
      <c r="X154" s="10"/>
    </row>
    <row r="155" spans="1:24" ht="15.75" customHeight="1" x14ac:dyDescent="0.25">
      <c r="A155" s="6">
        <v>42</v>
      </c>
      <c r="B155" s="94"/>
      <c r="C155" s="45"/>
      <c r="D155" s="8"/>
      <c r="E155" s="8"/>
      <c r="F155" s="8"/>
      <c r="G155" s="8"/>
      <c r="H155" s="8"/>
      <c r="I155" s="8"/>
      <c r="J155" s="15" t="e">
        <f t="shared" si="10"/>
        <v>#DIV/0!</v>
      </c>
      <c r="K155" s="8"/>
      <c r="L155" s="8"/>
      <c r="M155" s="15" t="e">
        <f t="shared" si="11"/>
        <v>#DIV/0!</v>
      </c>
      <c r="N155" s="8"/>
      <c r="O155" s="8"/>
      <c r="P155" s="15" t="e">
        <f t="shared" si="12"/>
        <v>#DIV/0!</v>
      </c>
      <c r="Q155" s="10"/>
      <c r="R155" s="201" t="e">
        <f t="shared" si="13"/>
        <v>#DIV/0!</v>
      </c>
      <c r="S155" s="202"/>
      <c r="T155" s="202"/>
      <c r="U155" s="338"/>
      <c r="V155" s="51" t="e">
        <f t="shared" si="14"/>
        <v>#DIV/0!</v>
      </c>
      <c r="W155" s="10"/>
      <c r="X155" s="10"/>
    </row>
    <row r="156" spans="1:24" ht="15.75" customHeight="1" x14ac:dyDescent="0.25">
      <c r="A156" s="6">
        <v>43</v>
      </c>
      <c r="B156" s="94"/>
      <c r="C156" s="45"/>
      <c r="D156" s="8"/>
      <c r="E156" s="8"/>
      <c r="F156" s="8"/>
      <c r="G156" s="8"/>
      <c r="H156" s="8"/>
      <c r="I156" s="8"/>
      <c r="J156" s="15" t="e">
        <f t="shared" si="10"/>
        <v>#DIV/0!</v>
      </c>
      <c r="K156" s="8"/>
      <c r="L156" s="8"/>
      <c r="M156" s="15" t="e">
        <f t="shared" si="11"/>
        <v>#DIV/0!</v>
      </c>
      <c r="N156" s="8"/>
      <c r="O156" s="8"/>
      <c r="P156" s="15" t="e">
        <f t="shared" si="12"/>
        <v>#DIV/0!</v>
      </c>
      <c r="Q156" s="10"/>
      <c r="R156" s="201" t="e">
        <f t="shared" si="13"/>
        <v>#DIV/0!</v>
      </c>
      <c r="S156" s="202"/>
      <c r="T156" s="202"/>
      <c r="U156" s="338"/>
      <c r="V156" s="51" t="e">
        <f t="shared" si="14"/>
        <v>#DIV/0!</v>
      </c>
      <c r="W156" s="10"/>
      <c r="X156" s="10"/>
    </row>
    <row r="157" spans="1:24" ht="15.75" customHeight="1" x14ac:dyDescent="0.25">
      <c r="A157" s="6">
        <v>44</v>
      </c>
      <c r="B157" s="94"/>
      <c r="C157" s="45"/>
      <c r="D157" s="8"/>
      <c r="E157" s="8"/>
      <c r="F157" s="8"/>
      <c r="G157" s="8"/>
      <c r="H157" s="8"/>
      <c r="I157" s="8"/>
      <c r="J157" s="15" t="e">
        <f t="shared" si="10"/>
        <v>#DIV/0!</v>
      </c>
      <c r="K157" s="8"/>
      <c r="L157" s="8"/>
      <c r="M157" s="15" t="e">
        <f t="shared" si="11"/>
        <v>#DIV/0!</v>
      </c>
      <c r="N157" s="8"/>
      <c r="O157" s="8"/>
      <c r="P157" s="15" t="e">
        <f t="shared" si="12"/>
        <v>#DIV/0!</v>
      </c>
      <c r="Q157" s="10"/>
      <c r="R157" s="201" t="e">
        <f t="shared" si="13"/>
        <v>#DIV/0!</v>
      </c>
      <c r="S157" s="202"/>
      <c r="T157" s="202"/>
      <c r="U157" s="338"/>
      <c r="V157" s="51" t="e">
        <f t="shared" si="14"/>
        <v>#DIV/0!</v>
      </c>
      <c r="W157" s="10"/>
      <c r="X157" s="10"/>
    </row>
    <row r="158" spans="1:24" ht="15.75" customHeight="1" x14ac:dyDescent="0.25">
      <c r="A158" s="6">
        <v>45</v>
      </c>
      <c r="B158" s="94"/>
      <c r="C158" s="45"/>
      <c r="D158" s="8"/>
      <c r="E158" s="8"/>
      <c r="F158" s="8"/>
      <c r="G158" s="8"/>
      <c r="H158" s="8"/>
      <c r="I158" s="8"/>
      <c r="J158" s="15" t="e">
        <f t="shared" si="10"/>
        <v>#DIV/0!</v>
      </c>
      <c r="K158" s="8"/>
      <c r="L158" s="8"/>
      <c r="M158" s="15" t="e">
        <f t="shared" si="11"/>
        <v>#DIV/0!</v>
      </c>
      <c r="N158" s="8"/>
      <c r="O158" s="8"/>
      <c r="P158" s="15" t="e">
        <f t="shared" si="12"/>
        <v>#DIV/0!</v>
      </c>
      <c r="Q158" s="10"/>
      <c r="R158" s="201" t="e">
        <f t="shared" si="13"/>
        <v>#DIV/0!</v>
      </c>
      <c r="S158" s="202"/>
      <c r="T158" s="202"/>
      <c r="U158" s="338"/>
      <c r="V158" s="51" t="e">
        <f t="shared" si="14"/>
        <v>#DIV/0!</v>
      </c>
      <c r="W158" s="10"/>
      <c r="X158" s="10"/>
    </row>
    <row r="159" spans="1:24" ht="15.75" customHeight="1" thickBot="1" x14ac:dyDescent="0.3">
      <c r="A159" s="16">
        <v>46</v>
      </c>
      <c r="B159" s="96"/>
      <c r="C159" s="46"/>
      <c r="D159" s="47"/>
      <c r="E159" s="47"/>
      <c r="F159" s="47"/>
      <c r="G159" s="47"/>
      <c r="H159" s="47"/>
      <c r="I159" s="47"/>
      <c r="J159" s="48" t="e">
        <f t="shared" si="10"/>
        <v>#DIV/0!</v>
      </c>
      <c r="K159" s="47"/>
      <c r="L159" s="47"/>
      <c r="M159" s="48" t="e">
        <f t="shared" si="11"/>
        <v>#DIV/0!</v>
      </c>
      <c r="N159" s="47"/>
      <c r="O159" s="47"/>
      <c r="P159" s="48" t="e">
        <f t="shared" si="12"/>
        <v>#DIV/0!</v>
      </c>
      <c r="Q159" s="49"/>
      <c r="R159" s="330" t="e">
        <f t="shared" si="13"/>
        <v>#DIV/0!</v>
      </c>
      <c r="S159" s="331"/>
      <c r="T159" s="331"/>
      <c r="U159" s="344"/>
      <c r="V159" s="52" t="e">
        <f t="shared" si="14"/>
        <v>#DIV/0!</v>
      </c>
      <c r="W159" s="10"/>
      <c r="X159" s="10"/>
    </row>
    <row r="160" spans="1:24" ht="15.75" customHeight="1" x14ac:dyDescent="0.25">
      <c r="A160" s="263"/>
      <c r="B160" s="301"/>
      <c r="C160" s="257"/>
      <c r="D160" s="257"/>
      <c r="E160" s="267"/>
      <c r="F160" s="270"/>
      <c r="G160" s="270"/>
      <c r="H160" s="270"/>
      <c r="I160" s="270"/>
      <c r="J160" s="272"/>
      <c r="K160" s="272"/>
      <c r="L160" s="257"/>
      <c r="M160" s="259"/>
      <c r="N160" s="259"/>
      <c r="O160" s="259"/>
      <c r="P160" s="259"/>
      <c r="Q160" s="261"/>
      <c r="R160" s="277"/>
      <c r="S160" s="278"/>
      <c r="T160" s="279"/>
      <c r="U160" s="283"/>
      <c r="V160" s="284"/>
      <c r="W160" s="255"/>
      <c r="X160" s="181"/>
    </row>
    <row r="161" spans="1:24" ht="15.75" customHeight="1" x14ac:dyDescent="0.25">
      <c r="A161" s="264"/>
      <c r="B161" s="302"/>
      <c r="C161" s="205"/>
      <c r="D161" s="205"/>
      <c r="E161" s="210"/>
      <c r="F161" s="211"/>
      <c r="G161" s="211"/>
      <c r="H161" s="211"/>
      <c r="I161" s="211"/>
      <c r="J161" s="204"/>
      <c r="K161" s="204"/>
      <c r="L161" s="205"/>
      <c r="M161" s="185"/>
      <c r="N161" s="185"/>
      <c r="O161" s="185"/>
      <c r="P161" s="185"/>
      <c r="Q161" s="187"/>
      <c r="R161" s="188"/>
      <c r="S161" s="189"/>
      <c r="T161" s="190"/>
      <c r="U161" s="194"/>
      <c r="V161" s="285"/>
      <c r="W161" s="255"/>
      <c r="X161" s="181"/>
    </row>
    <row r="162" spans="1:24" ht="15.75" customHeight="1" x14ac:dyDescent="0.25">
      <c r="A162" s="264"/>
      <c r="B162" s="303"/>
      <c r="C162" s="205"/>
      <c r="D162" s="205"/>
      <c r="E162" s="210"/>
      <c r="F162" s="211"/>
      <c r="G162" s="211"/>
      <c r="H162" s="211"/>
      <c r="I162" s="211"/>
      <c r="J162" s="204"/>
      <c r="K162" s="204"/>
      <c r="L162" s="205"/>
      <c r="M162" s="185"/>
      <c r="N162" s="185"/>
      <c r="O162" s="185"/>
      <c r="P162" s="185"/>
      <c r="Q162" s="187"/>
      <c r="R162" s="188"/>
      <c r="S162" s="189"/>
      <c r="T162" s="190"/>
      <c r="U162" s="194"/>
      <c r="V162" s="285"/>
      <c r="W162" s="255"/>
      <c r="X162" s="181"/>
    </row>
    <row r="163" spans="1:24" ht="15.75" customHeight="1" thickBot="1" x14ac:dyDescent="0.3">
      <c r="A163" s="265"/>
      <c r="B163" s="304"/>
      <c r="C163" s="258"/>
      <c r="D163" s="258"/>
      <c r="E163" s="268"/>
      <c r="F163" s="271"/>
      <c r="G163" s="271"/>
      <c r="H163" s="271"/>
      <c r="I163" s="271"/>
      <c r="J163" s="273"/>
      <c r="K163" s="273"/>
      <c r="L163" s="258"/>
      <c r="M163" s="260"/>
      <c r="N163" s="260"/>
      <c r="O163" s="260"/>
      <c r="P163" s="260"/>
      <c r="Q163" s="262"/>
      <c r="R163" s="280"/>
      <c r="S163" s="281"/>
      <c r="T163" s="282"/>
      <c r="U163" s="286"/>
      <c r="V163" s="287"/>
      <c r="W163" s="256"/>
      <c r="X163" s="182"/>
    </row>
    <row r="164" spans="1:24" ht="15.75" customHeight="1" x14ac:dyDescent="0.25"/>
    <row r="165" spans="1:24" ht="15.75" customHeight="1" x14ac:dyDescent="0.25"/>
    <row r="166" spans="1:24" ht="15.75" customHeight="1" thickBot="1" x14ac:dyDescent="0.3"/>
    <row r="167" spans="1:24" ht="87.75" customHeight="1" thickBot="1" x14ac:dyDescent="0.3">
      <c r="A167" s="290"/>
      <c r="B167" s="291"/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1"/>
      <c r="N167" s="291"/>
      <c r="O167" s="291"/>
      <c r="P167" s="292"/>
      <c r="Q167" s="310"/>
      <c r="R167" s="228"/>
      <c r="S167" s="228"/>
      <c r="T167" s="228"/>
      <c r="U167" s="228"/>
      <c r="V167" s="228"/>
      <c r="W167" s="228"/>
      <c r="X167" s="229"/>
    </row>
    <row r="168" spans="1:24" ht="15.75" customHeight="1" thickBot="1" x14ac:dyDescent="0.3">
      <c r="A168" s="218" t="s">
        <v>930</v>
      </c>
      <c r="B168" s="219"/>
      <c r="C168" s="220" t="s">
        <v>19</v>
      </c>
      <c r="D168" s="221"/>
      <c r="E168" s="221"/>
      <c r="F168" s="221"/>
      <c r="G168" s="221"/>
      <c r="H168" s="221"/>
      <c r="I168" s="222"/>
      <c r="J168" s="223" t="s">
        <v>20</v>
      </c>
      <c r="K168" s="224"/>
      <c r="L168" s="224"/>
      <c r="M168" s="224"/>
      <c r="N168" s="225"/>
      <c r="O168" s="225"/>
      <c r="P168" s="225"/>
      <c r="Q168" s="226"/>
      <c r="R168" s="227" t="s">
        <v>40</v>
      </c>
      <c r="S168" s="228"/>
      <c r="T168" s="228"/>
      <c r="U168" s="228"/>
      <c r="V168" s="228"/>
      <c r="W168" s="228"/>
      <c r="X168" s="229"/>
    </row>
    <row r="169" spans="1:24" ht="15.75" customHeight="1" x14ac:dyDescent="0.25">
      <c r="A169" s="230" t="s">
        <v>0</v>
      </c>
      <c r="B169" s="293" t="s">
        <v>1</v>
      </c>
      <c r="C169" s="235" t="s">
        <v>12</v>
      </c>
      <c r="D169" s="235"/>
      <c r="E169" s="235"/>
      <c r="F169" s="235"/>
      <c r="G169" s="235"/>
      <c r="H169" s="235"/>
      <c r="I169" s="235"/>
      <c r="J169" s="235"/>
      <c r="K169" s="236" t="s">
        <v>13</v>
      </c>
      <c r="L169" s="237"/>
      <c r="M169" s="237"/>
      <c r="N169" s="240" t="s">
        <v>15</v>
      </c>
      <c r="O169" s="240"/>
      <c r="P169" s="240"/>
      <c r="Q169" s="241" t="s">
        <v>4</v>
      </c>
      <c r="R169" s="244" t="s">
        <v>11</v>
      </c>
      <c r="S169" s="244"/>
      <c r="T169" s="244"/>
      <c r="U169" s="244"/>
      <c r="V169" s="244"/>
      <c r="W169" s="246" t="s">
        <v>2</v>
      </c>
      <c r="X169" s="247"/>
    </row>
    <row r="170" spans="1:24" ht="15.75" customHeight="1" x14ac:dyDescent="0.25">
      <c r="A170" s="231"/>
      <c r="B170" s="294"/>
      <c r="C170" s="248" t="s">
        <v>6</v>
      </c>
      <c r="D170" s="248" t="s">
        <v>17</v>
      </c>
      <c r="E170" s="248" t="s">
        <v>5</v>
      </c>
      <c r="F170" s="250"/>
      <c r="G170" s="250"/>
      <c r="H170" s="250"/>
      <c r="I170" s="251" t="s">
        <v>16</v>
      </c>
      <c r="J170" s="253" t="s">
        <v>14</v>
      </c>
      <c r="K170" s="238"/>
      <c r="L170" s="239"/>
      <c r="M170" s="239"/>
      <c r="N170" s="240"/>
      <c r="O170" s="240"/>
      <c r="P170" s="240"/>
      <c r="Q170" s="242"/>
      <c r="R170" s="245"/>
      <c r="S170" s="245"/>
      <c r="T170" s="245"/>
      <c r="U170" s="245"/>
      <c r="V170" s="245"/>
      <c r="W170" s="187"/>
      <c r="X170" s="187"/>
    </row>
    <row r="171" spans="1:24" ht="29.25" customHeight="1" thickBot="1" x14ac:dyDescent="0.3">
      <c r="A171" s="232"/>
      <c r="B171" s="294"/>
      <c r="C171" s="248"/>
      <c r="D171" s="248"/>
      <c r="E171" s="248"/>
      <c r="F171" s="248"/>
      <c r="G171" s="248"/>
      <c r="H171" s="248"/>
      <c r="I171" s="328"/>
      <c r="J171" s="329"/>
      <c r="K171" s="27" t="s">
        <v>9</v>
      </c>
      <c r="L171" s="27" t="s">
        <v>10</v>
      </c>
      <c r="M171" s="55" t="s">
        <v>3</v>
      </c>
      <c r="N171" s="27" t="s">
        <v>9</v>
      </c>
      <c r="O171" s="27" t="s">
        <v>10</v>
      </c>
      <c r="P171" s="56" t="s">
        <v>3</v>
      </c>
      <c r="Q171" s="321"/>
      <c r="R171" s="322" t="s">
        <v>7</v>
      </c>
      <c r="S171" s="323"/>
      <c r="T171" s="323"/>
      <c r="U171" s="324"/>
      <c r="V171" s="57" t="s">
        <v>8</v>
      </c>
      <c r="W171" s="5">
        <v>1</v>
      </c>
      <c r="X171" s="5">
        <v>2</v>
      </c>
    </row>
    <row r="172" spans="1:24" ht="15.75" customHeight="1" x14ac:dyDescent="0.25">
      <c r="A172" s="38">
        <v>1</v>
      </c>
      <c r="B172" s="124" t="s">
        <v>318</v>
      </c>
      <c r="C172" s="147"/>
      <c r="D172" s="107"/>
      <c r="E172" s="107"/>
      <c r="F172" s="29"/>
      <c r="G172" s="30"/>
      <c r="H172" s="30"/>
      <c r="I172" s="148"/>
      <c r="J172" s="144" t="e">
        <f>((AVERAGE(C172:H172))*72%)+I172*8%</f>
        <v>#DIV/0!</v>
      </c>
      <c r="K172" s="30"/>
      <c r="L172" s="30"/>
      <c r="M172" s="31" t="e">
        <f>(AVERAGE(K172:L172))*10%</f>
        <v>#DIV/0!</v>
      </c>
      <c r="N172" s="30"/>
      <c r="O172" s="30"/>
      <c r="P172" s="31" t="e">
        <f>(AVERAGE(N172:O172))*10%</f>
        <v>#DIV/0!</v>
      </c>
      <c r="Q172" s="30"/>
      <c r="R172" s="325" t="e">
        <f>IF(V172&lt;65,"BAJO",IF(V172&lt;=79,"BASICO",IF(V172&lt;=89,"ALTO",IF(V172&lt;=100,"SUPERIOR"))))</f>
        <v>#DIV/0!</v>
      </c>
      <c r="S172" s="326"/>
      <c r="T172" s="326"/>
      <c r="U172" s="327"/>
      <c r="V172" s="32" t="e">
        <f>J172+M172+P172</f>
        <v>#DIV/0!</v>
      </c>
      <c r="W172" s="24"/>
      <c r="X172" s="10"/>
    </row>
    <row r="173" spans="1:24" ht="15.75" customHeight="1" x14ac:dyDescent="0.25">
      <c r="A173" s="38">
        <v>2</v>
      </c>
      <c r="B173" s="124" t="s">
        <v>774</v>
      </c>
      <c r="C173" s="149"/>
      <c r="D173" s="108"/>
      <c r="E173" s="108"/>
      <c r="F173" s="26"/>
      <c r="G173" s="8"/>
      <c r="H173" s="8"/>
      <c r="I173" s="150"/>
      <c r="J173" s="145" t="e">
        <f t="shared" ref="J173:J217" si="15">((AVERAGE(C173:H173))*72%)+I173*8%</f>
        <v>#DIV/0!</v>
      </c>
      <c r="K173" s="8"/>
      <c r="L173" s="8"/>
      <c r="M173" s="15" t="e">
        <f t="shared" ref="M173:M217" si="16">(AVERAGE(K173:L173))*10%</f>
        <v>#DIV/0!</v>
      </c>
      <c r="N173" s="8"/>
      <c r="O173" s="8"/>
      <c r="P173" s="15" t="e">
        <f t="shared" ref="P173:P217" si="17">(AVERAGE(N173:O173))*10%</f>
        <v>#DIV/0!</v>
      </c>
      <c r="Q173" s="11"/>
      <c r="R173" s="201" t="e">
        <f t="shared" ref="R173:R217" si="18">IF(V173&lt;65,"BAJO",IF(V173&lt;=79,"BASICO",IF(V173&lt;=89,"ALTO",IF(V173&lt;=100,"SUPERIOR"))))</f>
        <v>#DIV/0!</v>
      </c>
      <c r="S173" s="202"/>
      <c r="T173" s="202"/>
      <c r="U173" s="203"/>
      <c r="V173" s="33" t="e">
        <f t="shared" ref="V173:V217" si="19">J173+M173+P173</f>
        <v>#DIV/0!</v>
      </c>
      <c r="W173" s="24"/>
      <c r="X173" s="10"/>
    </row>
    <row r="174" spans="1:24" ht="15.75" customHeight="1" x14ac:dyDescent="0.25">
      <c r="A174" s="38">
        <v>3</v>
      </c>
      <c r="B174" s="124" t="s">
        <v>283</v>
      </c>
      <c r="C174" s="149"/>
      <c r="D174" s="108"/>
      <c r="E174" s="108"/>
      <c r="F174" s="26"/>
      <c r="G174" s="8"/>
      <c r="H174" s="8"/>
      <c r="I174" s="150"/>
      <c r="J174" s="145" t="e">
        <f t="shared" si="15"/>
        <v>#DIV/0!</v>
      </c>
      <c r="K174" s="8"/>
      <c r="L174" s="8"/>
      <c r="M174" s="15" t="e">
        <f t="shared" si="16"/>
        <v>#DIV/0!</v>
      </c>
      <c r="N174" s="8"/>
      <c r="O174" s="8"/>
      <c r="P174" s="15" t="e">
        <f t="shared" si="17"/>
        <v>#DIV/0!</v>
      </c>
      <c r="Q174" s="11"/>
      <c r="R174" s="201" t="e">
        <f t="shared" si="18"/>
        <v>#DIV/0!</v>
      </c>
      <c r="S174" s="202"/>
      <c r="T174" s="202"/>
      <c r="U174" s="203"/>
      <c r="V174" s="33" t="e">
        <f t="shared" si="19"/>
        <v>#DIV/0!</v>
      </c>
      <c r="W174" s="24"/>
      <c r="X174" s="10"/>
    </row>
    <row r="175" spans="1:24" ht="15.75" customHeight="1" x14ac:dyDescent="0.25">
      <c r="A175" s="38">
        <v>4</v>
      </c>
      <c r="B175" s="124" t="s">
        <v>206</v>
      </c>
      <c r="C175" s="149"/>
      <c r="D175" s="108"/>
      <c r="E175" s="108"/>
      <c r="F175" s="26"/>
      <c r="G175" s="8"/>
      <c r="H175" s="8"/>
      <c r="I175" s="151"/>
      <c r="J175" s="145" t="e">
        <f t="shared" si="15"/>
        <v>#DIV/0!</v>
      </c>
      <c r="K175" s="8"/>
      <c r="L175" s="8"/>
      <c r="M175" s="15" t="e">
        <f t="shared" si="16"/>
        <v>#DIV/0!</v>
      </c>
      <c r="N175" s="8"/>
      <c r="O175" s="8"/>
      <c r="P175" s="15" t="e">
        <f t="shared" si="17"/>
        <v>#DIV/0!</v>
      </c>
      <c r="Q175" s="11"/>
      <c r="R175" s="201" t="e">
        <f t="shared" si="18"/>
        <v>#DIV/0!</v>
      </c>
      <c r="S175" s="202"/>
      <c r="T175" s="202"/>
      <c r="U175" s="203"/>
      <c r="V175" s="33" t="e">
        <f t="shared" si="19"/>
        <v>#DIV/0!</v>
      </c>
      <c r="W175" s="24"/>
      <c r="X175" s="10"/>
    </row>
    <row r="176" spans="1:24" ht="15.75" customHeight="1" x14ac:dyDescent="0.25">
      <c r="A176" s="38">
        <v>5</v>
      </c>
      <c r="B176" s="124" t="s">
        <v>319</v>
      </c>
      <c r="C176" s="149"/>
      <c r="D176" s="108"/>
      <c r="E176" s="108"/>
      <c r="F176" s="26"/>
      <c r="G176" s="8"/>
      <c r="H176" s="8"/>
      <c r="I176" s="151"/>
      <c r="J176" s="145" t="e">
        <f t="shared" si="15"/>
        <v>#DIV/0!</v>
      </c>
      <c r="K176" s="8"/>
      <c r="L176" s="8"/>
      <c r="M176" s="15" t="e">
        <f t="shared" si="16"/>
        <v>#DIV/0!</v>
      </c>
      <c r="N176" s="8"/>
      <c r="O176" s="8"/>
      <c r="P176" s="15" t="e">
        <f t="shared" si="17"/>
        <v>#DIV/0!</v>
      </c>
      <c r="Q176" s="10"/>
      <c r="R176" s="201" t="e">
        <f t="shared" si="18"/>
        <v>#DIV/0!</v>
      </c>
      <c r="S176" s="202"/>
      <c r="T176" s="202"/>
      <c r="U176" s="203"/>
      <c r="V176" s="33" t="e">
        <f t="shared" si="19"/>
        <v>#DIV/0!</v>
      </c>
      <c r="W176" s="24"/>
      <c r="X176" s="10"/>
    </row>
    <row r="177" spans="1:24" ht="15.75" customHeight="1" x14ac:dyDescent="0.25">
      <c r="A177" s="38">
        <v>6</v>
      </c>
      <c r="B177" s="124" t="s">
        <v>284</v>
      </c>
      <c r="C177" s="149"/>
      <c r="D177" s="108"/>
      <c r="E177" s="108"/>
      <c r="F177" s="26"/>
      <c r="G177" s="8"/>
      <c r="H177" s="8"/>
      <c r="I177" s="151"/>
      <c r="J177" s="145" t="e">
        <f t="shared" si="15"/>
        <v>#DIV/0!</v>
      </c>
      <c r="K177" s="8"/>
      <c r="L177" s="8"/>
      <c r="M177" s="15" t="e">
        <f t="shared" si="16"/>
        <v>#DIV/0!</v>
      </c>
      <c r="N177" s="8"/>
      <c r="O177" s="8"/>
      <c r="P177" s="15" t="e">
        <f t="shared" si="17"/>
        <v>#DIV/0!</v>
      </c>
      <c r="Q177" s="10"/>
      <c r="R177" s="201" t="e">
        <f t="shared" si="18"/>
        <v>#DIV/0!</v>
      </c>
      <c r="S177" s="202"/>
      <c r="T177" s="202"/>
      <c r="U177" s="203"/>
      <c r="V177" s="33" t="e">
        <f t="shared" si="19"/>
        <v>#DIV/0!</v>
      </c>
      <c r="W177" s="24"/>
      <c r="X177" s="10"/>
    </row>
    <row r="178" spans="1:24" ht="15.75" customHeight="1" x14ac:dyDescent="0.25">
      <c r="A178" s="38">
        <v>7</v>
      </c>
      <c r="B178" s="125" t="s">
        <v>785</v>
      </c>
      <c r="C178" s="149"/>
      <c r="D178" s="108"/>
      <c r="E178" s="108"/>
      <c r="F178" s="26"/>
      <c r="G178" s="8"/>
      <c r="H178" s="8"/>
      <c r="I178" s="151"/>
      <c r="J178" s="145" t="e">
        <f t="shared" si="15"/>
        <v>#DIV/0!</v>
      </c>
      <c r="K178" s="8"/>
      <c r="L178" s="8"/>
      <c r="M178" s="15" t="e">
        <f t="shared" si="16"/>
        <v>#DIV/0!</v>
      </c>
      <c r="N178" s="8"/>
      <c r="O178" s="8"/>
      <c r="P178" s="15" t="e">
        <f t="shared" si="17"/>
        <v>#DIV/0!</v>
      </c>
      <c r="Q178" s="10"/>
      <c r="R178" s="201" t="e">
        <f t="shared" si="18"/>
        <v>#DIV/0!</v>
      </c>
      <c r="S178" s="202"/>
      <c r="T178" s="202"/>
      <c r="U178" s="203"/>
      <c r="V178" s="33" t="e">
        <f t="shared" si="19"/>
        <v>#DIV/0!</v>
      </c>
      <c r="W178" s="24"/>
      <c r="X178" s="10"/>
    </row>
    <row r="179" spans="1:24" ht="15.75" customHeight="1" x14ac:dyDescent="0.25">
      <c r="A179" s="38">
        <v>8</v>
      </c>
      <c r="B179" s="124" t="s">
        <v>304</v>
      </c>
      <c r="C179" s="149"/>
      <c r="D179" s="108"/>
      <c r="E179" s="108"/>
      <c r="F179" s="26"/>
      <c r="G179" s="8"/>
      <c r="H179" s="8"/>
      <c r="I179" s="151"/>
      <c r="J179" s="145" t="e">
        <f t="shared" si="15"/>
        <v>#DIV/0!</v>
      </c>
      <c r="K179" s="8"/>
      <c r="L179" s="8"/>
      <c r="M179" s="15" t="e">
        <f t="shared" si="16"/>
        <v>#DIV/0!</v>
      </c>
      <c r="N179" s="8"/>
      <c r="O179" s="8"/>
      <c r="P179" s="15" t="e">
        <f t="shared" si="17"/>
        <v>#DIV/0!</v>
      </c>
      <c r="Q179" s="10"/>
      <c r="R179" s="201" t="e">
        <f t="shared" si="18"/>
        <v>#DIV/0!</v>
      </c>
      <c r="S179" s="202"/>
      <c r="T179" s="202"/>
      <c r="U179" s="203"/>
      <c r="V179" s="33" t="e">
        <f t="shared" si="19"/>
        <v>#DIV/0!</v>
      </c>
      <c r="W179" s="24"/>
      <c r="X179" s="10"/>
    </row>
    <row r="180" spans="1:24" ht="15.75" customHeight="1" x14ac:dyDescent="0.25">
      <c r="A180" s="38">
        <v>9</v>
      </c>
      <c r="B180" s="124" t="s">
        <v>294</v>
      </c>
      <c r="C180" s="149"/>
      <c r="D180" s="108"/>
      <c r="E180" s="108"/>
      <c r="F180" s="26"/>
      <c r="G180" s="8"/>
      <c r="H180" s="8"/>
      <c r="I180" s="151"/>
      <c r="J180" s="145" t="e">
        <f t="shared" si="15"/>
        <v>#DIV/0!</v>
      </c>
      <c r="K180" s="8"/>
      <c r="L180" s="8"/>
      <c r="M180" s="15" t="e">
        <f t="shared" si="16"/>
        <v>#DIV/0!</v>
      </c>
      <c r="N180" s="8"/>
      <c r="O180" s="8"/>
      <c r="P180" s="15" t="e">
        <f t="shared" si="17"/>
        <v>#DIV/0!</v>
      </c>
      <c r="Q180" s="10"/>
      <c r="R180" s="201" t="e">
        <f t="shared" si="18"/>
        <v>#DIV/0!</v>
      </c>
      <c r="S180" s="202"/>
      <c r="T180" s="202"/>
      <c r="U180" s="203"/>
      <c r="V180" s="33" t="e">
        <f t="shared" si="19"/>
        <v>#DIV/0!</v>
      </c>
      <c r="W180" s="24"/>
      <c r="X180" s="10"/>
    </row>
    <row r="181" spans="1:24" ht="15.75" customHeight="1" x14ac:dyDescent="0.25">
      <c r="A181" s="38">
        <v>10</v>
      </c>
      <c r="B181" s="124" t="s">
        <v>306</v>
      </c>
      <c r="C181" s="149"/>
      <c r="D181" s="108"/>
      <c r="E181" s="108"/>
      <c r="F181" s="26"/>
      <c r="G181" s="8"/>
      <c r="H181" s="8"/>
      <c r="I181" s="151"/>
      <c r="J181" s="145" t="e">
        <f t="shared" si="15"/>
        <v>#DIV/0!</v>
      </c>
      <c r="K181" s="8"/>
      <c r="L181" s="8"/>
      <c r="M181" s="15" t="e">
        <f t="shared" si="16"/>
        <v>#DIV/0!</v>
      </c>
      <c r="N181" s="8"/>
      <c r="O181" s="8"/>
      <c r="P181" s="15" t="e">
        <f t="shared" si="17"/>
        <v>#DIV/0!</v>
      </c>
      <c r="Q181" s="10"/>
      <c r="R181" s="201" t="e">
        <f t="shared" si="18"/>
        <v>#DIV/0!</v>
      </c>
      <c r="S181" s="202"/>
      <c r="T181" s="202"/>
      <c r="U181" s="203"/>
      <c r="V181" s="33" t="e">
        <f t="shared" si="19"/>
        <v>#DIV/0!</v>
      </c>
      <c r="W181" s="24"/>
      <c r="X181" s="10"/>
    </row>
    <row r="182" spans="1:24" ht="15.75" customHeight="1" x14ac:dyDescent="0.25">
      <c r="A182" s="38">
        <v>11</v>
      </c>
      <c r="B182" s="124" t="s">
        <v>307</v>
      </c>
      <c r="C182" s="149"/>
      <c r="D182" s="108"/>
      <c r="E182" s="108"/>
      <c r="F182" s="26"/>
      <c r="G182" s="8"/>
      <c r="H182" s="8"/>
      <c r="I182" s="151"/>
      <c r="J182" s="145" t="e">
        <f t="shared" si="15"/>
        <v>#DIV/0!</v>
      </c>
      <c r="K182" s="8"/>
      <c r="L182" s="8"/>
      <c r="M182" s="15" t="e">
        <f t="shared" si="16"/>
        <v>#DIV/0!</v>
      </c>
      <c r="N182" s="8"/>
      <c r="O182" s="8"/>
      <c r="P182" s="15" t="e">
        <f t="shared" si="17"/>
        <v>#DIV/0!</v>
      </c>
      <c r="Q182" s="10"/>
      <c r="R182" s="201" t="e">
        <f t="shared" si="18"/>
        <v>#DIV/0!</v>
      </c>
      <c r="S182" s="202"/>
      <c r="T182" s="202"/>
      <c r="U182" s="203"/>
      <c r="V182" s="33" t="e">
        <f t="shared" si="19"/>
        <v>#DIV/0!</v>
      </c>
      <c r="W182" s="24"/>
      <c r="X182" s="10"/>
    </row>
    <row r="183" spans="1:24" ht="15.75" customHeight="1" x14ac:dyDescent="0.25">
      <c r="A183" s="38">
        <v>12</v>
      </c>
      <c r="B183" s="124" t="s">
        <v>392</v>
      </c>
      <c r="C183" s="149"/>
      <c r="D183" s="108"/>
      <c r="E183" s="108"/>
      <c r="F183" s="26"/>
      <c r="G183" s="8"/>
      <c r="H183" s="8"/>
      <c r="I183" s="151"/>
      <c r="J183" s="145" t="e">
        <f t="shared" si="15"/>
        <v>#DIV/0!</v>
      </c>
      <c r="K183" s="8"/>
      <c r="L183" s="8"/>
      <c r="M183" s="15" t="e">
        <f t="shared" si="16"/>
        <v>#DIV/0!</v>
      </c>
      <c r="N183" s="8"/>
      <c r="O183" s="8"/>
      <c r="P183" s="15" t="e">
        <f t="shared" si="17"/>
        <v>#DIV/0!</v>
      </c>
      <c r="Q183" s="10"/>
      <c r="R183" s="201" t="e">
        <f t="shared" si="18"/>
        <v>#DIV/0!</v>
      </c>
      <c r="S183" s="202"/>
      <c r="T183" s="202"/>
      <c r="U183" s="203"/>
      <c r="V183" s="33" t="e">
        <f t="shared" si="19"/>
        <v>#DIV/0!</v>
      </c>
      <c r="W183" s="24"/>
      <c r="X183" s="10"/>
    </row>
    <row r="184" spans="1:24" ht="15.75" customHeight="1" x14ac:dyDescent="0.25">
      <c r="A184" s="38">
        <v>13</v>
      </c>
      <c r="B184" s="124" t="s">
        <v>190</v>
      </c>
      <c r="C184" s="149"/>
      <c r="D184" s="108"/>
      <c r="E184" s="108"/>
      <c r="F184" s="26"/>
      <c r="G184" s="8"/>
      <c r="H184" s="8"/>
      <c r="I184" s="151"/>
      <c r="J184" s="145" t="e">
        <f t="shared" si="15"/>
        <v>#DIV/0!</v>
      </c>
      <c r="K184" s="8"/>
      <c r="L184" s="8"/>
      <c r="M184" s="15" t="e">
        <f t="shared" si="16"/>
        <v>#DIV/0!</v>
      </c>
      <c r="N184" s="8"/>
      <c r="O184" s="8"/>
      <c r="P184" s="15" t="e">
        <f t="shared" si="17"/>
        <v>#DIV/0!</v>
      </c>
      <c r="Q184" s="10"/>
      <c r="R184" s="201" t="e">
        <f t="shared" si="18"/>
        <v>#DIV/0!</v>
      </c>
      <c r="S184" s="202"/>
      <c r="T184" s="202"/>
      <c r="U184" s="203"/>
      <c r="V184" s="33" t="e">
        <f t="shared" si="19"/>
        <v>#DIV/0!</v>
      </c>
      <c r="W184" s="24"/>
      <c r="X184" s="10"/>
    </row>
    <row r="185" spans="1:24" ht="15.75" customHeight="1" x14ac:dyDescent="0.25">
      <c r="A185" s="38">
        <v>14</v>
      </c>
      <c r="B185" s="124" t="s">
        <v>285</v>
      </c>
      <c r="C185" s="149"/>
      <c r="D185" s="108"/>
      <c r="E185" s="108"/>
      <c r="F185" s="26"/>
      <c r="G185" s="8"/>
      <c r="H185" s="8"/>
      <c r="I185" s="151"/>
      <c r="J185" s="145" t="e">
        <f t="shared" si="15"/>
        <v>#DIV/0!</v>
      </c>
      <c r="K185" s="8"/>
      <c r="L185" s="8"/>
      <c r="M185" s="15" t="e">
        <f t="shared" si="16"/>
        <v>#DIV/0!</v>
      </c>
      <c r="N185" s="8"/>
      <c r="O185" s="8"/>
      <c r="P185" s="15" t="e">
        <f t="shared" si="17"/>
        <v>#DIV/0!</v>
      </c>
      <c r="Q185" s="10"/>
      <c r="R185" s="201" t="e">
        <f t="shared" si="18"/>
        <v>#DIV/0!</v>
      </c>
      <c r="S185" s="202"/>
      <c r="T185" s="202"/>
      <c r="U185" s="203"/>
      <c r="V185" s="33" t="e">
        <f t="shared" si="19"/>
        <v>#DIV/0!</v>
      </c>
      <c r="W185" s="24"/>
      <c r="X185" s="10"/>
    </row>
    <row r="186" spans="1:24" ht="15.75" customHeight="1" x14ac:dyDescent="0.25">
      <c r="A186" s="38">
        <v>15</v>
      </c>
      <c r="B186" s="124" t="s">
        <v>296</v>
      </c>
      <c r="C186" s="149"/>
      <c r="D186" s="108"/>
      <c r="E186" s="108"/>
      <c r="F186" s="26"/>
      <c r="G186" s="8"/>
      <c r="H186" s="8"/>
      <c r="I186" s="151"/>
      <c r="J186" s="145" t="e">
        <f t="shared" si="15"/>
        <v>#DIV/0!</v>
      </c>
      <c r="K186" s="8"/>
      <c r="L186" s="8"/>
      <c r="M186" s="15" t="e">
        <f t="shared" si="16"/>
        <v>#DIV/0!</v>
      </c>
      <c r="N186" s="8"/>
      <c r="O186" s="8"/>
      <c r="P186" s="15" t="e">
        <f t="shared" si="17"/>
        <v>#DIV/0!</v>
      </c>
      <c r="Q186" s="10"/>
      <c r="R186" s="201" t="e">
        <f t="shared" si="18"/>
        <v>#DIV/0!</v>
      </c>
      <c r="S186" s="202"/>
      <c r="T186" s="202"/>
      <c r="U186" s="203"/>
      <c r="V186" s="33" t="e">
        <f t="shared" si="19"/>
        <v>#DIV/0!</v>
      </c>
      <c r="W186" s="24"/>
      <c r="X186" s="10"/>
    </row>
    <row r="187" spans="1:24" ht="15.75" customHeight="1" x14ac:dyDescent="0.25">
      <c r="A187" s="38">
        <v>16</v>
      </c>
      <c r="B187" s="124" t="s">
        <v>321</v>
      </c>
      <c r="C187" s="149"/>
      <c r="D187" s="108"/>
      <c r="E187" s="108"/>
      <c r="F187" s="26"/>
      <c r="G187" s="8"/>
      <c r="H187" s="8"/>
      <c r="I187" s="151"/>
      <c r="J187" s="145" t="e">
        <f t="shared" si="15"/>
        <v>#DIV/0!</v>
      </c>
      <c r="K187" s="8"/>
      <c r="L187" s="8"/>
      <c r="M187" s="15" t="e">
        <f t="shared" si="16"/>
        <v>#DIV/0!</v>
      </c>
      <c r="N187" s="8"/>
      <c r="O187" s="8"/>
      <c r="P187" s="15" t="e">
        <f t="shared" si="17"/>
        <v>#DIV/0!</v>
      </c>
      <c r="Q187" s="10"/>
      <c r="R187" s="201" t="e">
        <f t="shared" si="18"/>
        <v>#DIV/0!</v>
      </c>
      <c r="S187" s="202"/>
      <c r="T187" s="202"/>
      <c r="U187" s="203"/>
      <c r="V187" s="33" t="e">
        <f t="shared" si="19"/>
        <v>#DIV/0!</v>
      </c>
      <c r="W187" s="24"/>
      <c r="X187" s="10"/>
    </row>
    <row r="188" spans="1:24" ht="15.75" customHeight="1" x14ac:dyDescent="0.25">
      <c r="A188" s="38">
        <v>17</v>
      </c>
      <c r="B188" s="124" t="s">
        <v>297</v>
      </c>
      <c r="C188" s="149"/>
      <c r="D188" s="108"/>
      <c r="E188" s="108"/>
      <c r="F188" s="26"/>
      <c r="G188" s="8"/>
      <c r="H188" s="8"/>
      <c r="I188" s="152"/>
      <c r="J188" s="145" t="e">
        <f t="shared" si="15"/>
        <v>#DIV/0!</v>
      </c>
      <c r="K188" s="8"/>
      <c r="L188" s="8"/>
      <c r="M188" s="15" t="e">
        <f t="shared" si="16"/>
        <v>#DIV/0!</v>
      </c>
      <c r="N188" s="8"/>
      <c r="O188" s="8"/>
      <c r="P188" s="15" t="e">
        <f t="shared" si="17"/>
        <v>#DIV/0!</v>
      </c>
      <c r="Q188" s="10"/>
      <c r="R188" s="201" t="e">
        <f t="shared" si="18"/>
        <v>#DIV/0!</v>
      </c>
      <c r="S188" s="202"/>
      <c r="T188" s="202"/>
      <c r="U188" s="203"/>
      <c r="V188" s="33" t="e">
        <f t="shared" si="19"/>
        <v>#DIV/0!</v>
      </c>
      <c r="W188" s="24"/>
      <c r="X188" s="10"/>
    </row>
    <row r="189" spans="1:24" ht="15.75" customHeight="1" x14ac:dyDescent="0.25">
      <c r="A189" s="38">
        <v>18</v>
      </c>
      <c r="B189" s="124" t="s">
        <v>265</v>
      </c>
      <c r="C189" s="149"/>
      <c r="D189" s="108"/>
      <c r="E189" s="108"/>
      <c r="F189" s="26"/>
      <c r="G189" s="8"/>
      <c r="H189" s="8"/>
      <c r="I189" s="151"/>
      <c r="J189" s="145" t="e">
        <f t="shared" si="15"/>
        <v>#DIV/0!</v>
      </c>
      <c r="K189" s="8"/>
      <c r="L189" s="8"/>
      <c r="M189" s="15" t="e">
        <f t="shared" si="16"/>
        <v>#DIV/0!</v>
      </c>
      <c r="N189" s="8"/>
      <c r="O189" s="8"/>
      <c r="P189" s="15" t="e">
        <f t="shared" si="17"/>
        <v>#DIV/0!</v>
      </c>
      <c r="Q189" s="10"/>
      <c r="R189" s="201" t="e">
        <f t="shared" si="18"/>
        <v>#DIV/0!</v>
      </c>
      <c r="S189" s="202"/>
      <c r="T189" s="202"/>
      <c r="U189" s="203"/>
      <c r="V189" s="33" t="e">
        <f t="shared" si="19"/>
        <v>#DIV/0!</v>
      </c>
      <c r="W189" s="24"/>
      <c r="X189" s="10"/>
    </row>
    <row r="190" spans="1:24" ht="15.75" customHeight="1" x14ac:dyDescent="0.25">
      <c r="A190" s="38">
        <v>19</v>
      </c>
      <c r="B190" s="124" t="s">
        <v>169</v>
      </c>
      <c r="C190" s="149"/>
      <c r="D190" s="108"/>
      <c r="E190" s="108"/>
      <c r="F190" s="26"/>
      <c r="G190" s="8"/>
      <c r="H190" s="8"/>
      <c r="I190" s="151"/>
      <c r="J190" s="145" t="e">
        <f t="shared" si="15"/>
        <v>#DIV/0!</v>
      </c>
      <c r="K190" s="8"/>
      <c r="L190" s="8"/>
      <c r="M190" s="15" t="e">
        <f t="shared" si="16"/>
        <v>#DIV/0!</v>
      </c>
      <c r="N190" s="8"/>
      <c r="O190" s="8"/>
      <c r="P190" s="15" t="e">
        <f t="shared" si="17"/>
        <v>#DIV/0!</v>
      </c>
      <c r="Q190" s="10"/>
      <c r="R190" s="201" t="e">
        <f t="shared" si="18"/>
        <v>#DIV/0!</v>
      </c>
      <c r="S190" s="202"/>
      <c r="T190" s="202"/>
      <c r="U190" s="203"/>
      <c r="V190" s="33" t="e">
        <f t="shared" si="19"/>
        <v>#DIV/0!</v>
      </c>
      <c r="W190" s="24"/>
      <c r="X190" s="10"/>
    </row>
    <row r="191" spans="1:24" ht="15.75" customHeight="1" x14ac:dyDescent="0.25">
      <c r="A191" s="38">
        <v>20</v>
      </c>
      <c r="B191" s="124" t="s">
        <v>324</v>
      </c>
      <c r="C191" s="149"/>
      <c r="D191" s="108"/>
      <c r="E191" s="108"/>
      <c r="F191" s="26"/>
      <c r="G191" s="8"/>
      <c r="H191" s="8"/>
      <c r="I191" s="151"/>
      <c r="J191" s="145" t="e">
        <f t="shared" si="15"/>
        <v>#DIV/0!</v>
      </c>
      <c r="K191" s="8"/>
      <c r="L191" s="8"/>
      <c r="M191" s="15" t="e">
        <f t="shared" si="16"/>
        <v>#DIV/0!</v>
      </c>
      <c r="N191" s="8"/>
      <c r="O191" s="8"/>
      <c r="P191" s="15" t="e">
        <f t="shared" si="17"/>
        <v>#DIV/0!</v>
      </c>
      <c r="Q191" s="10"/>
      <c r="R191" s="201" t="e">
        <f t="shared" si="18"/>
        <v>#DIV/0!</v>
      </c>
      <c r="S191" s="202"/>
      <c r="T191" s="202"/>
      <c r="U191" s="203"/>
      <c r="V191" s="33" t="e">
        <f t="shared" si="19"/>
        <v>#DIV/0!</v>
      </c>
      <c r="W191" s="24"/>
      <c r="X191" s="10"/>
    </row>
    <row r="192" spans="1:24" ht="15.75" customHeight="1" x14ac:dyDescent="0.25">
      <c r="A192" s="38">
        <v>21</v>
      </c>
      <c r="B192" s="124" t="s">
        <v>325</v>
      </c>
      <c r="C192" s="149"/>
      <c r="D192" s="108"/>
      <c r="E192" s="108"/>
      <c r="F192" s="26"/>
      <c r="G192" s="8"/>
      <c r="H192" s="8"/>
      <c r="I192" s="151"/>
      <c r="J192" s="145" t="e">
        <f t="shared" si="15"/>
        <v>#DIV/0!</v>
      </c>
      <c r="K192" s="8"/>
      <c r="L192" s="8"/>
      <c r="M192" s="15" t="e">
        <f t="shared" si="16"/>
        <v>#DIV/0!</v>
      </c>
      <c r="N192" s="8"/>
      <c r="O192" s="8"/>
      <c r="P192" s="15" t="e">
        <f t="shared" si="17"/>
        <v>#DIV/0!</v>
      </c>
      <c r="Q192" s="10"/>
      <c r="R192" s="201" t="e">
        <f t="shared" si="18"/>
        <v>#DIV/0!</v>
      </c>
      <c r="S192" s="202"/>
      <c r="T192" s="202"/>
      <c r="U192" s="203"/>
      <c r="V192" s="33" t="e">
        <f t="shared" si="19"/>
        <v>#DIV/0!</v>
      </c>
      <c r="W192" s="24"/>
      <c r="X192" s="10"/>
    </row>
    <row r="193" spans="1:24" ht="15.75" customHeight="1" x14ac:dyDescent="0.25">
      <c r="A193" s="38">
        <v>22</v>
      </c>
      <c r="B193" s="124" t="s">
        <v>299</v>
      </c>
      <c r="C193" s="149"/>
      <c r="D193" s="108"/>
      <c r="E193" s="108"/>
      <c r="F193" s="26"/>
      <c r="G193" s="8"/>
      <c r="H193" s="8"/>
      <c r="I193" s="151"/>
      <c r="J193" s="145" t="e">
        <f t="shared" si="15"/>
        <v>#DIV/0!</v>
      </c>
      <c r="K193" s="8"/>
      <c r="L193" s="8"/>
      <c r="M193" s="15" t="e">
        <f t="shared" si="16"/>
        <v>#DIV/0!</v>
      </c>
      <c r="N193" s="8"/>
      <c r="O193" s="8"/>
      <c r="P193" s="15" t="e">
        <f t="shared" si="17"/>
        <v>#DIV/0!</v>
      </c>
      <c r="Q193" s="10"/>
      <c r="R193" s="201" t="e">
        <f t="shared" si="18"/>
        <v>#DIV/0!</v>
      </c>
      <c r="S193" s="202"/>
      <c r="T193" s="202"/>
      <c r="U193" s="203"/>
      <c r="V193" s="33" t="e">
        <f t="shared" si="19"/>
        <v>#DIV/0!</v>
      </c>
      <c r="W193" s="24"/>
      <c r="X193" s="10"/>
    </row>
    <row r="194" spans="1:24" ht="15.75" customHeight="1" x14ac:dyDescent="0.25">
      <c r="A194" s="38">
        <v>23</v>
      </c>
      <c r="B194" s="124" t="s">
        <v>308</v>
      </c>
      <c r="C194" s="149"/>
      <c r="D194" s="108"/>
      <c r="E194" s="108"/>
      <c r="F194" s="26"/>
      <c r="G194" s="8"/>
      <c r="H194" s="8"/>
      <c r="I194" s="151"/>
      <c r="J194" s="145" t="e">
        <f t="shared" si="15"/>
        <v>#DIV/0!</v>
      </c>
      <c r="K194" s="8"/>
      <c r="L194" s="8"/>
      <c r="M194" s="15" t="e">
        <f t="shared" si="16"/>
        <v>#DIV/0!</v>
      </c>
      <c r="N194" s="8"/>
      <c r="O194" s="8"/>
      <c r="P194" s="15" t="e">
        <f t="shared" si="17"/>
        <v>#DIV/0!</v>
      </c>
      <c r="Q194" s="10"/>
      <c r="R194" s="201" t="e">
        <f t="shared" si="18"/>
        <v>#DIV/0!</v>
      </c>
      <c r="S194" s="202"/>
      <c r="T194" s="202"/>
      <c r="U194" s="203"/>
      <c r="V194" s="33" t="e">
        <f t="shared" si="19"/>
        <v>#DIV/0!</v>
      </c>
      <c r="W194" s="24"/>
      <c r="X194" s="10"/>
    </row>
    <row r="195" spans="1:24" ht="15.75" customHeight="1" x14ac:dyDescent="0.25">
      <c r="A195" s="38">
        <v>24</v>
      </c>
      <c r="B195" s="124" t="s">
        <v>312</v>
      </c>
      <c r="C195" s="149"/>
      <c r="D195" s="108"/>
      <c r="E195" s="108"/>
      <c r="F195" s="26"/>
      <c r="G195" s="8"/>
      <c r="H195" s="8"/>
      <c r="I195" s="151"/>
      <c r="J195" s="145" t="e">
        <f t="shared" si="15"/>
        <v>#DIV/0!</v>
      </c>
      <c r="K195" s="8"/>
      <c r="L195" s="8"/>
      <c r="M195" s="15" t="e">
        <f t="shared" si="16"/>
        <v>#DIV/0!</v>
      </c>
      <c r="N195" s="8"/>
      <c r="O195" s="8"/>
      <c r="P195" s="15" t="e">
        <f t="shared" si="17"/>
        <v>#DIV/0!</v>
      </c>
      <c r="Q195" s="10"/>
      <c r="R195" s="201" t="e">
        <f t="shared" si="18"/>
        <v>#DIV/0!</v>
      </c>
      <c r="S195" s="202"/>
      <c r="T195" s="202"/>
      <c r="U195" s="203"/>
      <c r="V195" s="33" t="e">
        <f t="shared" si="19"/>
        <v>#DIV/0!</v>
      </c>
      <c r="W195" s="24"/>
      <c r="X195" s="10"/>
    </row>
    <row r="196" spans="1:24" ht="15.75" customHeight="1" x14ac:dyDescent="0.25">
      <c r="A196" s="38">
        <v>25</v>
      </c>
      <c r="B196" s="68" t="s">
        <v>776</v>
      </c>
      <c r="C196" s="149"/>
      <c r="D196" s="108"/>
      <c r="E196" s="108"/>
      <c r="F196" s="26"/>
      <c r="G196" s="8"/>
      <c r="H196" s="8"/>
      <c r="I196" s="151"/>
      <c r="J196" s="145" t="e">
        <f t="shared" si="15"/>
        <v>#DIV/0!</v>
      </c>
      <c r="K196" s="8"/>
      <c r="L196" s="8"/>
      <c r="M196" s="15" t="e">
        <f t="shared" si="16"/>
        <v>#DIV/0!</v>
      </c>
      <c r="N196" s="8"/>
      <c r="O196" s="8"/>
      <c r="P196" s="15" t="e">
        <f t="shared" si="17"/>
        <v>#DIV/0!</v>
      </c>
      <c r="Q196" s="10"/>
      <c r="R196" s="201" t="e">
        <f t="shared" si="18"/>
        <v>#DIV/0!</v>
      </c>
      <c r="S196" s="202"/>
      <c r="T196" s="202"/>
      <c r="U196" s="203"/>
      <c r="V196" s="33" t="e">
        <f t="shared" si="19"/>
        <v>#DIV/0!</v>
      </c>
      <c r="W196" s="24"/>
      <c r="X196" s="10"/>
    </row>
    <row r="197" spans="1:24" ht="15.75" customHeight="1" x14ac:dyDescent="0.25">
      <c r="A197" s="38">
        <v>26</v>
      </c>
      <c r="B197" s="124" t="s">
        <v>777</v>
      </c>
      <c r="C197" s="149"/>
      <c r="D197" s="108"/>
      <c r="E197" s="108"/>
      <c r="F197" s="26"/>
      <c r="G197" s="8"/>
      <c r="H197" s="8"/>
      <c r="I197" s="151"/>
      <c r="J197" s="145" t="e">
        <f t="shared" si="15"/>
        <v>#DIV/0!</v>
      </c>
      <c r="K197" s="8"/>
      <c r="L197" s="8"/>
      <c r="M197" s="15" t="e">
        <f t="shared" si="16"/>
        <v>#DIV/0!</v>
      </c>
      <c r="N197" s="8"/>
      <c r="O197" s="8"/>
      <c r="P197" s="15" t="e">
        <f t="shared" si="17"/>
        <v>#DIV/0!</v>
      </c>
      <c r="Q197" s="10"/>
      <c r="R197" s="201" t="e">
        <f t="shared" si="18"/>
        <v>#DIV/0!</v>
      </c>
      <c r="S197" s="202"/>
      <c r="T197" s="202"/>
      <c r="U197" s="203"/>
      <c r="V197" s="33" t="e">
        <f t="shared" si="19"/>
        <v>#DIV/0!</v>
      </c>
      <c r="W197" s="24"/>
      <c r="X197" s="10"/>
    </row>
    <row r="198" spans="1:24" ht="15.75" customHeight="1" x14ac:dyDescent="0.25">
      <c r="A198" s="38">
        <v>27</v>
      </c>
      <c r="B198" s="124" t="s">
        <v>778</v>
      </c>
      <c r="C198" s="149"/>
      <c r="D198" s="108"/>
      <c r="E198" s="108"/>
      <c r="F198" s="26"/>
      <c r="G198" s="8"/>
      <c r="H198" s="8"/>
      <c r="I198" s="151"/>
      <c r="J198" s="145" t="e">
        <f t="shared" si="15"/>
        <v>#DIV/0!</v>
      </c>
      <c r="K198" s="8"/>
      <c r="L198" s="8"/>
      <c r="M198" s="15" t="e">
        <f t="shared" si="16"/>
        <v>#DIV/0!</v>
      </c>
      <c r="N198" s="8"/>
      <c r="O198" s="8"/>
      <c r="P198" s="15" t="e">
        <f t="shared" si="17"/>
        <v>#DIV/0!</v>
      </c>
      <c r="Q198" s="10"/>
      <c r="R198" s="201" t="e">
        <f t="shared" si="18"/>
        <v>#DIV/0!</v>
      </c>
      <c r="S198" s="202"/>
      <c r="T198" s="202"/>
      <c r="U198" s="203"/>
      <c r="V198" s="33" t="e">
        <f t="shared" si="19"/>
        <v>#DIV/0!</v>
      </c>
      <c r="W198" s="24"/>
      <c r="X198" s="10"/>
    </row>
    <row r="199" spans="1:24" ht="15.75" customHeight="1" x14ac:dyDescent="0.25">
      <c r="A199" s="38">
        <v>28</v>
      </c>
      <c r="B199" s="68"/>
      <c r="C199" s="149"/>
      <c r="D199" s="108"/>
      <c r="E199" s="108"/>
      <c r="F199" s="26"/>
      <c r="G199" s="8"/>
      <c r="H199" s="8"/>
      <c r="I199" s="151"/>
      <c r="J199" s="145" t="e">
        <f t="shared" si="15"/>
        <v>#DIV/0!</v>
      </c>
      <c r="K199" s="8"/>
      <c r="L199" s="8"/>
      <c r="M199" s="15" t="e">
        <f t="shared" si="16"/>
        <v>#DIV/0!</v>
      </c>
      <c r="N199" s="8"/>
      <c r="O199" s="8"/>
      <c r="P199" s="15" t="e">
        <f t="shared" si="17"/>
        <v>#DIV/0!</v>
      </c>
      <c r="Q199" s="10"/>
      <c r="R199" s="201" t="e">
        <f t="shared" si="18"/>
        <v>#DIV/0!</v>
      </c>
      <c r="S199" s="202"/>
      <c r="T199" s="202"/>
      <c r="U199" s="203"/>
      <c r="V199" s="33" t="e">
        <f t="shared" si="19"/>
        <v>#DIV/0!</v>
      </c>
      <c r="W199" s="24"/>
      <c r="X199" s="10"/>
    </row>
    <row r="200" spans="1:24" ht="15.75" customHeight="1" x14ac:dyDescent="0.25">
      <c r="A200" s="38">
        <v>29</v>
      </c>
      <c r="B200" s="113"/>
      <c r="C200" s="149"/>
      <c r="D200" s="108"/>
      <c r="E200" s="108"/>
      <c r="F200" s="26"/>
      <c r="G200" s="8"/>
      <c r="H200" s="8"/>
      <c r="I200" s="151"/>
      <c r="J200" s="145" t="e">
        <f t="shared" si="15"/>
        <v>#DIV/0!</v>
      </c>
      <c r="K200" s="8"/>
      <c r="L200" s="8"/>
      <c r="M200" s="15" t="e">
        <f t="shared" si="16"/>
        <v>#DIV/0!</v>
      </c>
      <c r="N200" s="8"/>
      <c r="O200" s="8"/>
      <c r="P200" s="15" t="e">
        <f t="shared" si="17"/>
        <v>#DIV/0!</v>
      </c>
      <c r="Q200" s="10"/>
      <c r="R200" s="201" t="e">
        <f t="shared" si="18"/>
        <v>#DIV/0!</v>
      </c>
      <c r="S200" s="202"/>
      <c r="T200" s="202"/>
      <c r="U200" s="203"/>
      <c r="V200" s="33" t="e">
        <f t="shared" si="19"/>
        <v>#DIV/0!</v>
      </c>
      <c r="W200" s="24"/>
      <c r="X200" s="10"/>
    </row>
    <row r="201" spans="1:24" ht="15.75" customHeight="1" x14ac:dyDescent="0.25">
      <c r="A201" s="38">
        <v>30</v>
      </c>
      <c r="B201" s="68"/>
      <c r="C201" s="149"/>
      <c r="D201" s="108"/>
      <c r="E201" s="108"/>
      <c r="F201" s="26"/>
      <c r="G201" s="8"/>
      <c r="H201" s="8"/>
      <c r="I201" s="151"/>
      <c r="J201" s="145" t="e">
        <f t="shared" si="15"/>
        <v>#DIV/0!</v>
      </c>
      <c r="K201" s="8"/>
      <c r="L201" s="8"/>
      <c r="M201" s="15" t="e">
        <f t="shared" si="16"/>
        <v>#DIV/0!</v>
      </c>
      <c r="N201" s="8"/>
      <c r="O201" s="8"/>
      <c r="P201" s="15" t="e">
        <f t="shared" si="17"/>
        <v>#DIV/0!</v>
      </c>
      <c r="Q201" s="10"/>
      <c r="R201" s="201" t="e">
        <f t="shared" si="18"/>
        <v>#DIV/0!</v>
      </c>
      <c r="S201" s="202"/>
      <c r="T201" s="202"/>
      <c r="U201" s="203"/>
      <c r="V201" s="33" t="e">
        <f t="shared" si="19"/>
        <v>#DIV/0!</v>
      </c>
      <c r="W201" s="24"/>
      <c r="X201" s="10"/>
    </row>
    <row r="202" spans="1:24" ht="15.75" customHeight="1" x14ac:dyDescent="0.25">
      <c r="A202" s="38">
        <v>31</v>
      </c>
      <c r="B202" s="124"/>
      <c r="C202" s="149"/>
      <c r="D202" s="108"/>
      <c r="E202" s="108"/>
      <c r="F202" s="26"/>
      <c r="G202" s="8"/>
      <c r="H202" s="8"/>
      <c r="I202" s="151"/>
      <c r="J202" s="145" t="e">
        <f t="shared" si="15"/>
        <v>#DIV/0!</v>
      </c>
      <c r="K202" s="8"/>
      <c r="L202" s="8"/>
      <c r="M202" s="15" t="e">
        <f t="shared" si="16"/>
        <v>#DIV/0!</v>
      </c>
      <c r="N202" s="8"/>
      <c r="O202" s="8"/>
      <c r="P202" s="15" t="e">
        <f t="shared" si="17"/>
        <v>#DIV/0!</v>
      </c>
      <c r="Q202" s="10"/>
      <c r="R202" s="201" t="e">
        <f t="shared" si="18"/>
        <v>#DIV/0!</v>
      </c>
      <c r="S202" s="202"/>
      <c r="T202" s="202"/>
      <c r="U202" s="203"/>
      <c r="V202" s="33" t="e">
        <f t="shared" si="19"/>
        <v>#DIV/0!</v>
      </c>
      <c r="W202" s="24"/>
      <c r="X202" s="10"/>
    </row>
    <row r="203" spans="1:24" ht="15.75" customHeight="1" x14ac:dyDescent="0.25">
      <c r="A203" s="38">
        <v>32</v>
      </c>
      <c r="B203" s="124"/>
      <c r="C203" s="149"/>
      <c r="D203" s="108"/>
      <c r="E203" s="108"/>
      <c r="F203" s="26"/>
      <c r="G203" s="8"/>
      <c r="H203" s="8"/>
      <c r="I203" s="151"/>
      <c r="J203" s="145" t="e">
        <f t="shared" si="15"/>
        <v>#DIV/0!</v>
      </c>
      <c r="K203" s="8"/>
      <c r="L203" s="8"/>
      <c r="M203" s="15" t="e">
        <f t="shared" si="16"/>
        <v>#DIV/0!</v>
      </c>
      <c r="N203" s="8"/>
      <c r="O203" s="8"/>
      <c r="P203" s="15" t="e">
        <f t="shared" si="17"/>
        <v>#DIV/0!</v>
      </c>
      <c r="Q203" s="10"/>
      <c r="R203" s="201" t="e">
        <f t="shared" si="18"/>
        <v>#DIV/0!</v>
      </c>
      <c r="S203" s="202"/>
      <c r="T203" s="202"/>
      <c r="U203" s="203"/>
      <c r="V203" s="33" t="e">
        <f t="shared" si="19"/>
        <v>#DIV/0!</v>
      </c>
      <c r="W203" s="24"/>
      <c r="X203" s="10"/>
    </row>
    <row r="204" spans="1:24" ht="15.75" customHeight="1" x14ac:dyDescent="0.25">
      <c r="A204" s="38">
        <v>33</v>
      </c>
      <c r="B204" s="68"/>
      <c r="C204" s="149"/>
      <c r="D204" s="108"/>
      <c r="E204" s="108"/>
      <c r="F204" s="26"/>
      <c r="G204" s="8"/>
      <c r="H204" s="8"/>
      <c r="I204" s="151"/>
      <c r="J204" s="145" t="e">
        <f t="shared" si="15"/>
        <v>#DIV/0!</v>
      </c>
      <c r="K204" s="8"/>
      <c r="L204" s="8"/>
      <c r="M204" s="15" t="e">
        <f t="shared" si="16"/>
        <v>#DIV/0!</v>
      </c>
      <c r="N204" s="8"/>
      <c r="O204" s="8"/>
      <c r="P204" s="15" t="e">
        <f t="shared" si="17"/>
        <v>#DIV/0!</v>
      </c>
      <c r="Q204" s="10"/>
      <c r="R204" s="201" t="e">
        <f t="shared" si="18"/>
        <v>#DIV/0!</v>
      </c>
      <c r="S204" s="202"/>
      <c r="T204" s="202"/>
      <c r="U204" s="203"/>
      <c r="V204" s="33" t="e">
        <f t="shared" si="19"/>
        <v>#DIV/0!</v>
      </c>
      <c r="W204" s="24"/>
      <c r="X204" s="10"/>
    </row>
    <row r="205" spans="1:24" ht="15.75" customHeight="1" x14ac:dyDescent="0.25">
      <c r="A205" s="38">
        <v>34</v>
      </c>
      <c r="B205" s="68"/>
      <c r="C205" s="149"/>
      <c r="D205" s="108"/>
      <c r="E205" s="108"/>
      <c r="F205" s="26"/>
      <c r="G205" s="8"/>
      <c r="H205" s="8"/>
      <c r="I205" s="151"/>
      <c r="J205" s="145" t="e">
        <f t="shared" si="15"/>
        <v>#DIV/0!</v>
      </c>
      <c r="K205" s="8"/>
      <c r="L205" s="8"/>
      <c r="M205" s="15" t="e">
        <f t="shared" si="16"/>
        <v>#DIV/0!</v>
      </c>
      <c r="N205" s="8"/>
      <c r="O205" s="8"/>
      <c r="P205" s="15" t="e">
        <f t="shared" si="17"/>
        <v>#DIV/0!</v>
      </c>
      <c r="Q205" s="10"/>
      <c r="R205" s="201" t="e">
        <f t="shared" si="18"/>
        <v>#DIV/0!</v>
      </c>
      <c r="S205" s="202"/>
      <c r="T205" s="202"/>
      <c r="U205" s="203"/>
      <c r="V205" s="33" t="e">
        <f t="shared" si="19"/>
        <v>#DIV/0!</v>
      </c>
      <c r="W205" s="24"/>
      <c r="X205" s="10"/>
    </row>
    <row r="206" spans="1:24" ht="15.75" customHeight="1" x14ac:dyDescent="0.25">
      <c r="A206" s="38">
        <v>35</v>
      </c>
      <c r="B206" s="124"/>
      <c r="C206" s="149"/>
      <c r="D206" s="108"/>
      <c r="E206" s="108"/>
      <c r="F206" s="26"/>
      <c r="G206" s="8"/>
      <c r="H206" s="8"/>
      <c r="I206" s="151"/>
      <c r="J206" s="145" t="e">
        <f t="shared" si="15"/>
        <v>#DIV/0!</v>
      </c>
      <c r="K206" s="8"/>
      <c r="L206" s="8"/>
      <c r="M206" s="15" t="e">
        <f t="shared" si="16"/>
        <v>#DIV/0!</v>
      </c>
      <c r="N206" s="8"/>
      <c r="O206" s="8"/>
      <c r="P206" s="15" t="e">
        <f t="shared" si="17"/>
        <v>#DIV/0!</v>
      </c>
      <c r="Q206" s="10"/>
      <c r="R206" s="201" t="e">
        <f t="shared" si="18"/>
        <v>#DIV/0!</v>
      </c>
      <c r="S206" s="202"/>
      <c r="T206" s="202"/>
      <c r="U206" s="203"/>
      <c r="V206" s="33" t="e">
        <f t="shared" si="19"/>
        <v>#DIV/0!</v>
      </c>
      <c r="W206" s="24"/>
      <c r="X206" s="10"/>
    </row>
    <row r="207" spans="1:24" ht="15.75" customHeight="1" x14ac:dyDescent="0.25">
      <c r="A207" s="38">
        <v>36</v>
      </c>
      <c r="B207" s="124"/>
      <c r="C207" s="149"/>
      <c r="D207" s="108"/>
      <c r="E207" s="108"/>
      <c r="F207" s="26"/>
      <c r="G207" s="8"/>
      <c r="H207" s="8"/>
      <c r="I207" s="151"/>
      <c r="J207" s="145" t="e">
        <f t="shared" si="15"/>
        <v>#DIV/0!</v>
      </c>
      <c r="K207" s="8"/>
      <c r="L207" s="8"/>
      <c r="M207" s="15" t="e">
        <f t="shared" si="16"/>
        <v>#DIV/0!</v>
      </c>
      <c r="N207" s="8"/>
      <c r="O207" s="8"/>
      <c r="P207" s="15" t="e">
        <f t="shared" si="17"/>
        <v>#DIV/0!</v>
      </c>
      <c r="Q207" s="10"/>
      <c r="R207" s="201" t="e">
        <f t="shared" si="18"/>
        <v>#DIV/0!</v>
      </c>
      <c r="S207" s="202"/>
      <c r="T207" s="202"/>
      <c r="U207" s="203"/>
      <c r="V207" s="33" t="e">
        <f t="shared" si="19"/>
        <v>#DIV/0!</v>
      </c>
      <c r="W207" s="24"/>
      <c r="X207" s="10"/>
    </row>
    <row r="208" spans="1:24" ht="15.75" customHeight="1" x14ac:dyDescent="0.25">
      <c r="A208" s="38">
        <v>37</v>
      </c>
      <c r="B208" s="124"/>
      <c r="C208" s="149"/>
      <c r="D208" s="108"/>
      <c r="E208" s="108"/>
      <c r="F208" s="26"/>
      <c r="G208" s="8"/>
      <c r="H208" s="8"/>
      <c r="I208" s="151"/>
      <c r="J208" s="145" t="e">
        <f t="shared" si="15"/>
        <v>#DIV/0!</v>
      </c>
      <c r="K208" s="8"/>
      <c r="L208" s="8"/>
      <c r="M208" s="15" t="e">
        <f t="shared" si="16"/>
        <v>#DIV/0!</v>
      </c>
      <c r="N208" s="8"/>
      <c r="O208" s="8"/>
      <c r="P208" s="15" t="e">
        <f t="shared" si="17"/>
        <v>#DIV/0!</v>
      </c>
      <c r="Q208" s="10"/>
      <c r="R208" s="201" t="e">
        <f t="shared" si="18"/>
        <v>#DIV/0!</v>
      </c>
      <c r="S208" s="202"/>
      <c r="T208" s="202"/>
      <c r="U208" s="203"/>
      <c r="V208" s="33" t="e">
        <f t="shared" si="19"/>
        <v>#DIV/0!</v>
      </c>
      <c r="W208" s="24"/>
      <c r="X208" s="10"/>
    </row>
    <row r="209" spans="1:24" ht="15.75" customHeight="1" x14ac:dyDescent="0.25">
      <c r="A209" s="38">
        <v>38</v>
      </c>
      <c r="B209" s="68"/>
      <c r="C209" s="149"/>
      <c r="D209" s="108"/>
      <c r="E209" s="108"/>
      <c r="F209" s="26"/>
      <c r="G209" s="8"/>
      <c r="H209" s="8"/>
      <c r="I209" s="151"/>
      <c r="J209" s="145" t="e">
        <f t="shared" si="15"/>
        <v>#DIV/0!</v>
      </c>
      <c r="K209" s="8"/>
      <c r="L209" s="8"/>
      <c r="M209" s="15" t="e">
        <f t="shared" si="16"/>
        <v>#DIV/0!</v>
      </c>
      <c r="N209" s="8"/>
      <c r="O209" s="8"/>
      <c r="P209" s="15" t="e">
        <f t="shared" si="17"/>
        <v>#DIV/0!</v>
      </c>
      <c r="Q209" s="10"/>
      <c r="R209" s="201" t="e">
        <f t="shared" si="18"/>
        <v>#DIV/0!</v>
      </c>
      <c r="S209" s="202"/>
      <c r="T209" s="202"/>
      <c r="U209" s="203"/>
      <c r="V209" s="33" t="e">
        <f t="shared" si="19"/>
        <v>#DIV/0!</v>
      </c>
      <c r="W209" s="24"/>
      <c r="X209" s="10"/>
    </row>
    <row r="210" spans="1:24" ht="15.75" customHeight="1" x14ac:dyDescent="0.25">
      <c r="A210" s="38">
        <v>39</v>
      </c>
      <c r="B210" s="141"/>
      <c r="C210" s="149"/>
      <c r="D210" s="108"/>
      <c r="E210" s="108"/>
      <c r="F210" s="26"/>
      <c r="G210" s="8"/>
      <c r="H210" s="8"/>
      <c r="I210" s="151"/>
      <c r="J210" s="145" t="e">
        <f t="shared" si="15"/>
        <v>#DIV/0!</v>
      </c>
      <c r="K210" s="8"/>
      <c r="L210" s="8"/>
      <c r="M210" s="15" t="e">
        <f t="shared" si="16"/>
        <v>#DIV/0!</v>
      </c>
      <c r="N210" s="8"/>
      <c r="O210" s="8"/>
      <c r="P210" s="15" t="e">
        <f t="shared" si="17"/>
        <v>#DIV/0!</v>
      </c>
      <c r="Q210" s="10"/>
      <c r="R210" s="201" t="e">
        <f t="shared" si="18"/>
        <v>#DIV/0!</v>
      </c>
      <c r="S210" s="202"/>
      <c r="T210" s="202"/>
      <c r="U210" s="203"/>
      <c r="V210" s="33" t="e">
        <f t="shared" si="19"/>
        <v>#DIV/0!</v>
      </c>
      <c r="W210" s="24"/>
      <c r="X210" s="10"/>
    </row>
    <row r="211" spans="1:24" ht="15.75" customHeight="1" x14ac:dyDescent="0.25">
      <c r="A211" s="38">
        <v>40</v>
      </c>
      <c r="B211" s="141"/>
      <c r="C211" s="149"/>
      <c r="D211" s="108"/>
      <c r="E211" s="108"/>
      <c r="F211" s="26"/>
      <c r="G211" s="8"/>
      <c r="H211" s="8"/>
      <c r="I211" s="151"/>
      <c r="J211" s="145" t="e">
        <f t="shared" si="15"/>
        <v>#DIV/0!</v>
      </c>
      <c r="K211" s="8"/>
      <c r="L211" s="8"/>
      <c r="M211" s="15" t="e">
        <f t="shared" si="16"/>
        <v>#DIV/0!</v>
      </c>
      <c r="N211" s="8"/>
      <c r="O211" s="8"/>
      <c r="P211" s="15" t="e">
        <f t="shared" si="17"/>
        <v>#DIV/0!</v>
      </c>
      <c r="Q211" s="10"/>
      <c r="R211" s="201" t="e">
        <f t="shared" si="18"/>
        <v>#DIV/0!</v>
      </c>
      <c r="S211" s="202"/>
      <c r="T211" s="202"/>
      <c r="U211" s="203"/>
      <c r="V211" s="33" t="e">
        <f t="shared" si="19"/>
        <v>#DIV/0!</v>
      </c>
      <c r="W211" s="24"/>
      <c r="X211" s="10"/>
    </row>
    <row r="212" spans="1:24" ht="15.75" customHeight="1" x14ac:dyDescent="0.25">
      <c r="A212" s="38">
        <v>41</v>
      </c>
      <c r="B212" s="142" t="s">
        <v>61</v>
      </c>
      <c r="C212" s="149"/>
      <c r="D212" s="108"/>
      <c r="E212" s="108"/>
      <c r="F212" s="26"/>
      <c r="G212" s="8"/>
      <c r="H212" s="8"/>
      <c r="I212" s="151"/>
      <c r="J212" s="145" t="e">
        <f t="shared" si="15"/>
        <v>#DIV/0!</v>
      </c>
      <c r="K212" s="8"/>
      <c r="L212" s="8"/>
      <c r="M212" s="15" t="e">
        <f t="shared" si="16"/>
        <v>#DIV/0!</v>
      </c>
      <c r="N212" s="8"/>
      <c r="O212" s="8"/>
      <c r="P212" s="15" t="e">
        <f t="shared" si="17"/>
        <v>#DIV/0!</v>
      </c>
      <c r="Q212" s="10"/>
      <c r="R212" s="201" t="e">
        <f t="shared" si="18"/>
        <v>#DIV/0!</v>
      </c>
      <c r="S212" s="202"/>
      <c r="T212" s="202"/>
      <c r="U212" s="203"/>
      <c r="V212" s="33" t="e">
        <f t="shared" si="19"/>
        <v>#DIV/0!</v>
      </c>
      <c r="W212" s="24"/>
      <c r="X212" s="10"/>
    </row>
    <row r="213" spans="1:24" ht="15.75" customHeight="1" x14ac:dyDescent="0.25">
      <c r="A213" s="38">
        <v>42</v>
      </c>
      <c r="B213" s="142"/>
      <c r="C213" s="149"/>
      <c r="D213" s="108"/>
      <c r="E213" s="108"/>
      <c r="F213" s="26"/>
      <c r="G213" s="8"/>
      <c r="H213" s="8"/>
      <c r="I213" s="151"/>
      <c r="J213" s="145" t="e">
        <f t="shared" si="15"/>
        <v>#DIV/0!</v>
      </c>
      <c r="K213" s="8"/>
      <c r="L213" s="8"/>
      <c r="M213" s="15" t="e">
        <f t="shared" si="16"/>
        <v>#DIV/0!</v>
      </c>
      <c r="N213" s="8"/>
      <c r="O213" s="8"/>
      <c r="P213" s="15" t="e">
        <f t="shared" si="17"/>
        <v>#DIV/0!</v>
      </c>
      <c r="Q213" s="10"/>
      <c r="R213" s="201" t="e">
        <f t="shared" si="18"/>
        <v>#DIV/0!</v>
      </c>
      <c r="S213" s="202"/>
      <c r="T213" s="202"/>
      <c r="U213" s="203"/>
      <c r="V213" s="33" t="e">
        <f t="shared" si="19"/>
        <v>#DIV/0!</v>
      </c>
      <c r="W213" s="24"/>
      <c r="X213" s="10"/>
    </row>
    <row r="214" spans="1:24" ht="15.75" customHeight="1" x14ac:dyDescent="0.25">
      <c r="A214" s="38">
        <v>43</v>
      </c>
      <c r="B214" s="142"/>
      <c r="C214" s="149"/>
      <c r="D214" s="108"/>
      <c r="E214" s="108"/>
      <c r="F214" s="26"/>
      <c r="G214" s="8"/>
      <c r="H214" s="8"/>
      <c r="I214" s="151"/>
      <c r="J214" s="145" t="e">
        <f t="shared" si="15"/>
        <v>#DIV/0!</v>
      </c>
      <c r="K214" s="8"/>
      <c r="L214" s="8"/>
      <c r="M214" s="15" t="e">
        <f t="shared" si="16"/>
        <v>#DIV/0!</v>
      </c>
      <c r="N214" s="8"/>
      <c r="O214" s="8"/>
      <c r="P214" s="15" t="e">
        <f t="shared" si="17"/>
        <v>#DIV/0!</v>
      </c>
      <c r="Q214" s="10"/>
      <c r="R214" s="201" t="e">
        <f t="shared" si="18"/>
        <v>#DIV/0!</v>
      </c>
      <c r="S214" s="202"/>
      <c r="T214" s="202"/>
      <c r="U214" s="203"/>
      <c r="V214" s="33" t="e">
        <f t="shared" si="19"/>
        <v>#DIV/0!</v>
      </c>
      <c r="W214" s="24"/>
      <c r="X214" s="10"/>
    </row>
    <row r="215" spans="1:24" ht="15.75" customHeight="1" x14ac:dyDescent="0.25">
      <c r="A215" s="38">
        <v>44</v>
      </c>
      <c r="B215" s="142"/>
      <c r="C215" s="149"/>
      <c r="D215" s="108"/>
      <c r="E215" s="108"/>
      <c r="F215" s="26"/>
      <c r="G215" s="8"/>
      <c r="H215" s="8"/>
      <c r="I215" s="151"/>
      <c r="J215" s="145" t="e">
        <f t="shared" si="15"/>
        <v>#DIV/0!</v>
      </c>
      <c r="K215" s="8"/>
      <c r="L215" s="8"/>
      <c r="M215" s="15" t="e">
        <f t="shared" si="16"/>
        <v>#DIV/0!</v>
      </c>
      <c r="N215" s="8"/>
      <c r="O215" s="8"/>
      <c r="P215" s="15" t="e">
        <f t="shared" si="17"/>
        <v>#DIV/0!</v>
      </c>
      <c r="Q215" s="10"/>
      <c r="R215" s="201" t="e">
        <f t="shared" si="18"/>
        <v>#DIV/0!</v>
      </c>
      <c r="S215" s="202"/>
      <c r="T215" s="202"/>
      <c r="U215" s="203"/>
      <c r="V215" s="33" t="e">
        <f t="shared" si="19"/>
        <v>#DIV/0!</v>
      </c>
      <c r="W215" s="24"/>
      <c r="X215" s="10"/>
    </row>
    <row r="216" spans="1:24" ht="15.75" customHeight="1" x14ac:dyDescent="0.25">
      <c r="A216" s="38">
        <v>45</v>
      </c>
      <c r="B216" s="142"/>
      <c r="C216" s="149"/>
      <c r="D216" s="108"/>
      <c r="E216" s="108"/>
      <c r="F216" s="26"/>
      <c r="G216" s="8"/>
      <c r="H216" s="8"/>
      <c r="I216" s="151"/>
      <c r="J216" s="145" t="e">
        <f t="shared" si="15"/>
        <v>#DIV/0!</v>
      </c>
      <c r="K216" s="8"/>
      <c r="L216" s="8"/>
      <c r="M216" s="15" t="e">
        <f t="shared" si="16"/>
        <v>#DIV/0!</v>
      </c>
      <c r="N216" s="8"/>
      <c r="O216" s="8"/>
      <c r="P216" s="15" t="e">
        <f t="shared" si="17"/>
        <v>#DIV/0!</v>
      </c>
      <c r="Q216" s="10"/>
      <c r="R216" s="201" t="e">
        <f t="shared" si="18"/>
        <v>#DIV/0!</v>
      </c>
      <c r="S216" s="202"/>
      <c r="T216" s="202"/>
      <c r="U216" s="203"/>
      <c r="V216" s="33" t="e">
        <f t="shared" si="19"/>
        <v>#DIV/0!</v>
      </c>
      <c r="W216" s="24"/>
      <c r="X216" s="10"/>
    </row>
    <row r="217" spans="1:24" ht="15.75" customHeight="1" thickBot="1" x14ac:dyDescent="0.3">
      <c r="A217" s="39">
        <v>46</v>
      </c>
      <c r="B217" s="143"/>
      <c r="C217" s="153"/>
      <c r="D217" s="109"/>
      <c r="E217" s="109"/>
      <c r="F217" s="54"/>
      <c r="G217" s="47"/>
      <c r="H217" s="47"/>
      <c r="I217" s="154"/>
      <c r="J217" s="146" t="e">
        <f t="shared" si="15"/>
        <v>#DIV/0!</v>
      </c>
      <c r="K217" s="47"/>
      <c r="L217" s="47"/>
      <c r="M217" s="48" t="e">
        <f t="shared" si="16"/>
        <v>#DIV/0!</v>
      </c>
      <c r="N217" s="47"/>
      <c r="O217" s="47"/>
      <c r="P217" s="48" t="e">
        <f t="shared" si="17"/>
        <v>#DIV/0!</v>
      </c>
      <c r="Q217" s="49"/>
      <c r="R217" s="330" t="e">
        <f t="shared" si="18"/>
        <v>#DIV/0!</v>
      </c>
      <c r="S217" s="331"/>
      <c r="T217" s="331"/>
      <c r="U217" s="332"/>
      <c r="V217" s="50" t="e">
        <f t="shared" si="19"/>
        <v>#DIV/0!</v>
      </c>
      <c r="W217" s="24"/>
      <c r="X217" s="10"/>
    </row>
    <row r="218" spans="1:24" ht="15.75" customHeight="1" x14ac:dyDescent="0.25">
      <c r="A218" s="263"/>
      <c r="B218" s="305"/>
      <c r="C218" s="348"/>
      <c r="D218" s="348"/>
      <c r="E218" s="349"/>
      <c r="F218" s="211"/>
      <c r="G218" s="211"/>
      <c r="H218" s="211"/>
      <c r="I218" s="211"/>
      <c r="J218" s="272"/>
      <c r="K218" s="272"/>
      <c r="L218" s="257"/>
      <c r="M218" s="259"/>
      <c r="N218" s="259"/>
      <c r="O218" s="259"/>
      <c r="P218" s="259"/>
      <c r="Q218" s="261"/>
      <c r="R218" s="277"/>
      <c r="S218" s="278"/>
      <c r="T218" s="279"/>
      <c r="U218" s="283"/>
      <c r="V218" s="284"/>
      <c r="W218" s="255"/>
      <c r="X218" s="181"/>
    </row>
    <row r="219" spans="1:24" ht="15.75" customHeight="1" x14ac:dyDescent="0.25">
      <c r="A219" s="264"/>
      <c r="B219" s="302"/>
      <c r="C219" s="205"/>
      <c r="D219" s="205"/>
      <c r="E219" s="210"/>
      <c r="F219" s="211"/>
      <c r="G219" s="211"/>
      <c r="H219" s="211"/>
      <c r="I219" s="211"/>
      <c r="J219" s="204"/>
      <c r="K219" s="204"/>
      <c r="L219" s="205"/>
      <c r="M219" s="185"/>
      <c r="N219" s="185"/>
      <c r="O219" s="185"/>
      <c r="P219" s="185"/>
      <c r="Q219" s="187"/>
      <c r="R219" s="188"/>
      <c r="S219" s="189"/>
      <c r="T219" s="190"/>
      <c r="U219" s="194"/>
      <c r="V219" s="285"/>
      <c r="W219" s="255"/>
      <c r="X219" s="181"/>
    </row>
    <row r="220" spans="1:24" ht="15.75" customHeight="1" x14ac:dyDescent="0.25">
      <c r="A220" s="264"/>
      <c r="B220" s="303"/>
      <c r="C220" s="205"/>
      <c r="D220" s="205"/>
      <c r="E220" s="210"/>
      <c r="F220" s="211"/>
      <c r="G220" s="211"/>
      <c r="H220" s="211"/>
      <c r="I220" s="211"/>
      <c r="J220" s="204"/>
      <c r="K220" s="204"/>
      <c r="L220" s="205"/>
      <c r="M220" s="185"/>
      <c r="N220" s="185"/>
      <c r="O220" s="185"/>
      <c r="P220" s="185"/>
      <c r="Q220" s="187"/>
      <c r="R220" s="188"/>
      <c r="S220" s="189"/>
      <c r="T220" s="190"/>
      <c r="U220" s="194"/>
      <c r="V220" s="285"/>
      <c r="W220" s="255"/>
      <c r="X220" s="181"/>
    </row>
    <row r="221" spans="1:24" ht="15.75" customHeight="1" thickBot="1" x14ac:dyDescent="0.3">
      <c r="A221" s="265"/>
      <c r="B221" s="304"/>
      <c r="C221" s="258"/>
      <c r="D221" s="258"/>
      <c r="E221" s="268"/>
      <c r="F221" s="271"/>
      <c r="G221" s="271"/>
      <c r="H221" s="271"/>
      <c r="I221" s="271"/>
      <c r="J221" s="273"/>
      <c r="K221" s="273"/>
      <c r="L221" s="258"/>
      <c r="M221" s="260"/>
      <c r="N221" s="260"/>
      <c r="O221" s="260"/>
      <c r="P221" s="260"/>
      <c r="Q221" s="262"/>
      <c r="R221" s="280"/>
      <c r="S221" s="281"/>
      <c r="T221" s="282"/>
      <c r="U221" s="286"/>
      <c r="V221" s="287"/>
      <c r="W221" s="256"/>
      <c r="X221" s="182"/>
    </row>
    <row r="222" spans="1:24" ht="15.75" customHeight="1" x14ac:dyDescent="0.25"/>
    <row r="223" spans="1:24" ht="15.75" customHeight="1" x14ac:dyDescent="0.25"/>
    <row r="224" spans="1:24" ht="15.75" customHeight="1" thickBot="1" x14ac:dyDescent="0.3"/>
    <row r="225" spans="1:24" ht="87.75" customHeight="1" thickBot="1" x14ac:dyDescent="0.3">
      <c r="A225" s="290"/>
      <c r="B225" s="291"/>
      <c r="C225" s="291"/>
      <c r="D225" s="291"/>
      <c r="E225" s="291"/>
      <c r="F225" s="291"/>
      <c r="G225" s="291"/>
      <c r="H225" s="291"/>
      <c r="I225" s="291"/>
      <c r="J225" s="291"/>
      <c r="K225" s="291"/>
      <c r="L225" s="291"/>
      <c r="M225" s="291"/>
      <c r="N225" s="291"/>
      <c r="O225" s="291"/>
      <c r="P225" s="292"/>
      <c r="Q225" s="310"/>
      <c r="R225" s="228"/>
      <c r="S225" s="228"/>
      <c r="T225" s="228"/>
      <c r="U225" s="228"/>
      <c r="V225" s="228"/>
      <c r="W225" s="228"/>
      <c r="X225" s="229"/>
    </row>
    <row r="226" spans="1:24" ht="15.75" customHeight="1" thickBot="1" x14ac:dyDescent="0.3">
      <c r="A226" s="218" t="s">
        <v>930</v>
      </c>
      <c r="B226" s="219"/>
      <c r="C226" s="220" t="s">
        <v>19</v>
      </c>
      <c r="D226" s="221"/>
      <c r="E226" s="221"/>
      <c r="F226" s="221"/>
      <c r="G226" s="221"/>
      <c r="H226" s="221"/>
      <c r="I226" s="222"/>
      <c r="J226" s="223" t="s">
        <v>20</v>
      </c>
      <c r="K226" s="224"/>
      <c r="L226" s="224"/>
      <c r="M226" s="224"/>
      <c r="N226" s="225"/>
      <c r="O226" s="225"/>
      <c r="P226" s="225"/>
      <c r="Q226" s="226"/>
      <c r="R226" s="227" t="s">
        <v>41</v>
      </c>
      <c r="S226" s="228"/>
      <c r="T226" s="228"/>
      <c r="U226" s="228"/>
      <c r="V226" s="228"/>
      <c r="W226" s="228"/>
      <c r="X226" s="229"/>
    </row>
    <row r="227" spans="1:24" ht="15.75" customHeight="1" x14ac:dyDescent="0.25">
      <c r="A227" s="230" t="s">
        <v>0</v>
      </c>
      <c r="B227" s="293" t="s">
        <v>1</v>
      </c>
      <c r="C227" s="235" t="s">
        <v>12</v>
      </c>
      <c r="D227" s="235"/>
      <c r="E227" s="235"/>
      <c r="F227" s="235"/>
      <c r="G227" s="235"/>
      <c r="H227" s="235"/>
      <c r="I227" s="235"/>
      <c r="J227" s="235"/>
      <c r="K227" s="236" t="s">
        <v>13</v>
      </c>
      <c r="L227" s="237"/>
      <c r="M227" s="237"/>
      <c r="N227" s="240" t="s">
        <v>15</v>
      </c>
      <c r="O227" s="240"/>
      <c r="P227" s="240"/>
      <c r="Q227" s="241" t="s">
        <v>4</v>
      </c>
      <c r="R227" s="244" t="s">
        <v>11</v>
      </c>
      <c r="S227" s="244"/>
      <c r="T227" s="244"/>
      <c r="U227" s="244"/>
      <c r="V227" s="244"/>
      <c r="W227" s="246" t="s">
        <v>2</v>
      </c>
      <c r="X227" s="247"/>
    </row>
    <row r="228" spans="1:24" ht="15.75" customHeight="1" x14ac:dyDescent="0.25">
      <c r="A228" s="231"/>
      <c r="B228" s="294"/>
      <c r="C228" s="248" t="s">
        <v>6</v>
      </c>
      <c r="D228" s="248" t="s">
        <v>17</v>
      </c>
      <c r="E228" s="248" t="s">
        <v>5</v>
      </c>
      <c r="F228" s="250"/>
      <c r="G228" s="250"/>
      <c r="H228" s="250"/>
      <c r="I228" s="251" t="s">
        <v>16</v>
      </c>
      <c r="J228" s="253" t="s">
        <v>14</v>
      </c>
      <c r="K228" s="238"/>
      <c r="L228" s="239"/>
      <c r="M228" s="239"/>
      <c r="N228" s="240"/>
      <c r="O228" s="240"/>
      <c r="P228" s="240"/>
      <c r="Q228" s="242"/>
      <c r="R228" s="245"/>
      <c r="S228" s="245"/>
      <c r="T228" s="245"/>
      <c r="U228" s="245"/>
      <c r="V228" s="245"/>
      <c r="W228" s="187"/>
      <c r="X228" s="187"/>
    </row>
    <row r="229" spans="1:24" ht="29.25" customHeight="1" thickBot="1" x14ac:dyDescent="0.3">
      <c r="A229" s="232"/>
      <c r="B229" s="295"/>
      <c r="C229" s="248"/>
      <c r="D229" s="248"/>
      <c r="E229" s="248"/>
      <c r="F229" s="248"/>
      <c r="G229" s="248"/>
      <c r="H229" s="248"/>
      <c r="I229" s="328"/>
      <c r="J229" s="329"/>
      <c r="K229" s="27" t="s">
        <v>9</v>
      </c>
      <c r="L229" s="27" t="s">
        <v>10</v>
      </c>
      <c r="M229" s="55" t="s">
        <v>3</v>
      </c>
      <c r="N229" s="27" t="s">
        <v>9</v>
      </c>
      <c r="O229" s="27" t="s">
        <v>10</v>
      </c>
      <c r="P229" s="56" t="s">
        <v>3</v>
      </c>
      <c r="Q229" s="321"/>
      <c r="R229" s="322" t="s">
        <v>7</v>
      </c>
      <c r="S229" s="323"/>
      <c r="T229" s="323"/>
      <c r="U229" s="324"/>
      <c r="V229" s="23" t="s">
        <v>8</v>
      </c>
      <c r="W229" s="5">
        <v>1</v>
      </c>
      <c r="X229" s="5">
        <v>2</v>
      </c>
    </row>
    <row r="230" spans="1:24" ht="15.75" customHeight="1" x14ac:dyDescent="0.25">
      <c r="A230" s="6">
        <v>1</v>
      </c>
      <c r="B230" s="123" t="s">
        <v>293</v>
      </c>
      <c r="C230" s="44"/>
      <c r="D230" s="30"/>
      <c r="E230" s="30"/>
      <c r="F230" s="30"/>
      <c r="G230" s="30"/>
      <c r="H230" s="30"/>
      <c r="I230" s="30"/>
      <c r="J230" s="31" t="e">
        <f>((AVERAGE(C230:H230))*72%)+I230*8%</f>
        <v>#DIV/0!</v>
      </c>
      <c r="K230" s="30"/>
      <c r="L230" s="30"/>
      <c r="M230" s="31" t="e">
        <f>(AVERAGE(K230:L230))*10%</f>
        <v>#DIV/0!</v>
      </c>
      <c r="N230" s="30"/>
      <c r="O230" s="30"/>
      <c r="P230" s="31" t="e">
        <f>(AVERAGE(N230:O230))*10%</f>
        <v>#DIV/0!</v>
      </c>
      <c r="Q230" s="30"/>
      <c r="R230" s="325" t="e">
        <f>IF(V230&lt;65,"BAJO",IF(V230&lt;=79,"BASICO",IF(V230&lt;=89,"ALTO",IF(V230&lt;=100,"SUPERIOR"))))</f>
        <v>#DIV/0!</v>
      </c>
      <c r="S230" s="326"/>
      <c r="T230" s="326"/>
      <c r="U230" s="337"/>
      <c r="V230" s="51" t="e">
        <f>J230+M230+P230</f>
        <v>#DIV/0!</v>
      </c>
      <c r="W230" s="10"/>
      <c r="X230" s="10"/>
    </row>
    <row r="231" spans="1:24" ht="15.75" customHeight="1" x14ac:dyDescent="0.25">
      <c r="A231" s="6">
        <v>2</v>
      </c>
      <c r="B231" s="124" t="s">
        <v>779</v>
      </c>
      <c r="C231" s="45"/>
      <c r="D231" s="8"/>
      <c r="E231" s="8"/>
      <c r="F231" s="8"/>
      <c r="G231" s="8"/>
      <c r="H231" s="8"/>
      <c r="I231" s="9"/>
      <c r="J231" s="15" t="e">
        <f t="shared" ref="J231:J275" si="20">((AVERAGE(C231:H231))*72%)+I231*8%</f>
        <v>#DIV/0!</v>
      </c>
      <c r="K231" s="8"/>
      <c r="L231" s="8"/>
      <c r="M231" s="15" t="e">
        <f t="shared" ref="M231:M275" si="21">(AVERAGE(K231:L231))*10%</f>
        <v>#DIV/0!</v>
      </c>
      <c r="N231" s="8"/>
      <c r="O231" s="8"/>
      <c r="P231" s="15" t="e">
        <f t="shared" ref="P231:P275" si="22">(AVERAGE(N231:O231))*10%</f>
        <v>#DIV/0!</v>
      </c>
      <c r="Q231" s="11"/>
      <c r="R231" s="201" t="e">
        <f t="shared" ref="R231:R275" si="23">IF(V231&lt;65,"BAJO",IF(V231&lt;=79,"BASICO",IF(V231&lt;=89,"ALTO",IF(V231&lt;=100,"SUPERIOR"))))</f>
        <v>#DIV/0!</v>
      </c>
      <c r="S231" s="202"/>
      <c r="T231" s="202"/>
      <c r="U231" s="338"/>
      <c r="V231" s="51" t="e">
        <f t="shared" ref="V231:V275" si="24">J231+M231+P231</f>
        <v>#DIV/0!</v>
      </c>
      <c r="W231" s="10"/>
      <c r="X231" s="10"/>
    </row>
    <row r="232" spans="1:24" ht="15.75" customHeight="1" x14ac:dyDescent="0.25">
      <c r="A232" s="6">
        <v>3</v>
      </c>
      <c r="B232" s="124" t="s">
        <v>780</v>
      </c>
      <c r="C232" s="45"/>
      <c r="D232" s="8"/>
      <c r="E232" s="8"/>
      <c r="F232" s="8"/>
      <c r="G232" s="8"/>
      <c r="H232" s="8"/>
      <c r="I232" s="9"/>
      <c r="J232" s="15" t="e">
        <f t="shared" si="20"/>
        <v>#DIV/0!</v>
      </c>
      <c r="K232" s="8"/>
      <c r="L232" s="8"/>
      <c r="M232" s="15" t="e">
        <f t="shared" si="21"/>
        <v>#DIV/0!</v>
      </c>
      <c r="N232" s="8"/>
      <c r="O232" s="8"/>
      <c r="P232" s="15" t="e">
        <f t="shared" si="22"/>
        <v>#DIV/0!</v>
      </c>
      <c r="Q232" s="11"/>
      <c r="R232" s="201" t="e">
        <f t="shared" si="23"/>
        <v>#DIV/0!</v>
      </c>
      <c r="S232" s="202"/>
      <c r="T232" s="202"/>
      <c r="U232" s="338"/>
      <c r="V232" s="51" t="e">
        <f t="shared" si="24"/>
        <v>#DIV/0!</v>
      </c>
      <c r="W232" s="10"/>
      <c r="X232" s="10"/>
    </row>
    <row r="233" spans="1:24" ht="15.75" customHeight="1" x14ac:dyDescent="0.25">
      <c r="A233" s="6">
        <v>4</v>
      </c>
      <c r="B233" s="125" t="s">
        <v>921</v>
      </c>
      <c r="C233" s="45"/>
      <c r="D233" s="8"/>
      <c r="E233" s="8"/>
      <c r="F233" s="8"/>
      <c r="G233" s="8"/>
      <c r="H233" s="8"/>
      <c r="I233" s="8"/>
      <c r="J233" s="15" t="e">
        <f t="shared" si="20"/>
        <v>#DIV/0!</v>
      </c>
      <c r="K233" s="8"/>
      <c r="L233" s="8"/>
      <c r="M233" s="15" t="e">
        <f t="shared" si="21"/>
        <v>#DIV/0!</v>
      </c>
      <c r="N233" s="8"/>
      <c r="O233" s="8"/>
      <c r="P233" s="15" t="e">
        <f t="shared" si="22"/>
        <v>#DIV/0!</v>
      </c>
      <c r="Q233" s="11"/>
      <c r="R233" s="201" t="e">
        <f t="shared" si="23"/>
        <v>#DIV/0!</v>
      </c>
      <c r="S233" s="202"/>
      <c r="T233" s="202"/>
      <c r="U233" s="338"/>
      <c r="V233" s="51" t="e">
        <f t="shared" si="24"/>
        <v>#DIV/0!</v>
      </c>
      <c r="W233" s="10"/>
      <c r="X233" s="10"/>
    </row>
    <row r="234" spans="1:24" ht="15.75" customHeight="1" x14ac:dyDescent="0.25">
      <c r="A234" s="6">
        <v>5</v>
      </c>
      <c r="B234" s="124" t="s">
        <v>234</v>
      </c>
      <c r="C234" s="45"/>
      <c r="D234" s="8"/>
      <c r="E234" s="8"/>
      <c r="F234" s="8"/>
      <c r="G234" s="8"/>
      <c r="H234" s="8"/>
      <c r="I234" s="8"/>
      <c r="J234" s="15" t="e">
        <f t="shared" si="20"/>
        <v>#DIV/0!</v>
      </c>
      <c r="K234" s="8"/>
      <c r="L234" s="8"/>
      <c r="M234" s="15" t="e">
        <f t="shared" si="21"/>
        <v>#DIV/0!</v>
      </c>
      <c r="N234" s="8"/>
      <c r="O234" s="8"/>
      <c r="P234" s="15" t="e">
        <f t="shared" si="22"/>
        <v>#DIV/0!</v>
      </c>
      <c r="Q234" s="10"/>
      <c r="R234" s="201" t="e">
        <f t="shared" si="23"/>
        <v>#DIV/0!</v>
      </c>
      <c r="S234" s="202"/>
      <c r="T234" s="202"/>
      <c r="U234" s="338"/>
      <c r="V234" s="51" t="e">
        <f t="shared" si="24"/>
        <v>#DIV/0!</v>
      </c>
      <c r="W234" s="10"/>
      <c r="X234" s="10"/>
    </row>
    <row r="235" spans="1:24" ht="15.75" customHeight="1" x14ac:dyDescent="0.25">
      <c r="A235" s="6">
        <v>6</v>
      </c>
      <c r="B235" s="124" t="s">
        <v>781</v>
      </c>
      <c r="C235" s="45"/>
      <c r="D235" s="8"/>
      <c r="E235" s="8"/>
      <c r="F235" s="8"/>
      <c r="G235" s="8"/>
      <c r="H235" s="8"/>
      <c r="I235" s="8"/>
      <c r="J235" s="15" t="e">
        <f t="shared" si="20"/>
        <v>#DIV/0!</v>
      </c>
      <c r="K235" s="8"/>
      <c r="L235" s="8"/>
      <c r="M235" s="15" t="e">
        <f t="shared" si="21"/>
        <v>#DIV/0!</v>
      </c>
      <c r="N235" s="8"/>
      <c r="O235" s="8"/>
      <c r="P235" s="15" t="e">
        <f t="shared" si="22"/>
        <v>#DIV/0!</v>
      </c>
      <c r="Q235" s="10"/>
      <c r="R235" s="201" t="e">
        <f t="shared" si="23"/>
        <v>#DIV/0!</v>
      </c>
      <c r="S235" s="202"/>
      <c r="T235" s="202"/>
      <c r="U235" s="338"/>
      <c r="V235" s="51" t="e">
        <f t="shared" si="24"/>
        <v>#DIV/0!</v>
      </c>
      <c r="W235" s="10"/>
      <c r="X235" s="10"/>
    </row>
    <row r="236" spans="1:24" ht="15.75" customHeight="1" x14ac:dyDescent="0.25">
      <c r="A236" s="6">
        <v>7</v>
      </c>
      <c r="B236" s="124" t="s">
        <v>397</v>
      </c>
      <c r="C236" s="45"/>
      <c r="D236" s="8"/>
      <c r="E236" s="8"/>
      <c r="F236" s="8"/>
      <c r="G236" s="8"/>
      <c r="H236" s="8"/>
      <c r="I236" s="8"/>
      <c r="J236" s="15" t="e">
        <f t="shared" si="20"/>
        <v>#DIV/0!</v>
      </c>
      <c r="K236" s="8"/>
      <c r="L236" s="8"/>
      <c r="M236" s="15" t="e">
        <f t="shared" si="21"/>
        <v>#DIV/0!</v>
      </c>
      <c r="N236" s="8"/>
      <c r="O236" s="8"/>
      <c r="P236" s="15" t="e">
        <f t="shared" si="22"/>
        <v>#DIV/0!</v>
      </c>
      <c r="Q236" s="10"/>
      <c r="R236" s="201" t="e">
        <f t="shared" si="23"/>
        <v>#DIV/0!</v>
      </c>
      <c r="S236" s="202"/>
      <c r="T236" s="202"/>
      <c r="U236" s="338"/>
      <c r="V236" s="51" t="e">
        <f t="shared" si="24"/>
        <v>#DIV/0!</v>
      </c>
      <c r="W236" s="10"/>
      <c r="X236" s="10"/>
    </row>
    <row r="237" spans="1:24" ht="15.75" customHeight="1" x14ac:dyDescent="0.25">
      <c r="A237" s="6">
        <v>8</v>
      </c>
      <c r="B237" s="125" t="s">
        <v>288</v>
      </c>
      <c r="C237" s="45"/>
      <c r="D237" s="8"/>
      <c r="E237" s="8"/>
      <c r="F237" s="8"/>
      <c r="G237" s="8"/>
      <c r="H237" s="8"/>
      <c r="I237" s="8"/>
      <c r="J237" s="15" t="e">
        <f t="shared" si="20"/>
        <v>#DIV/0!</v>
      </c>
      <c r="K237" s="8"/>
      <c r="L237" s="8"/>
      <c r="M237" s="15" t="e">
        <f t="shared" si="21"/>
        <v>#DIV/0!</v>
      </c>
      <c r="N237" s="8"/>
      <c r="O237" s="8"/>
      <c r="P237" s="15" t="e">
        <f t="shared" si="22"/>
        <v>#DIV/0!</v>
      </c>
      <c r="Q237" s="10"/>
      <c r="R237" s="201" t="e">
        <f t="shared" si="23"/>
        <v>#DIV/0!</v>
      </c>
      <c r="S237" s="202"/>
      <c r="T237" s="202"/>
      <c r="U237" s="338"/>
      <c r="V237" s="51" t="e">
        <f t="shared" si="24"/>
        <v>#DIV/0!</v>
      </c>
      <c r="W237" s="10"/>
      <c r="X237" s="10"/>
    </row>
    <row r="238" spans="1:24" ht="15.75" customHeight="1" x14ac:dyDescent="0.25">
      <c r="A238" s="6">
        <v>9</v>
      </c>
      <c r="B238" s="124" t="s">
        <v>326</v>
      </c>
      <c r="C238" s="45"/>
      <c r="D238" s="8"/>
      <c r="E238" s="8"/>
      <c r="F238" s="8"/>
      <c r="G238" s="8"/>
      <c r="H238" s="8"/>
      <c r="I238" s="8"/>
      <c r="J238" s="15" t="e">
        <f t="shared" si="20"/>
        <v>#DIV/0!</v>
      </c>
      <c r="K238" s="8"/>
      <c r="L238" s="8"/>
      <c r="M238" s="15" t="e">
        <f t="shared" si="21"/>
        <v>#DIV/0!</v>
      </c>
      <c r="N238" s="8"/>
      <c r="O238" s="8"/>
      <c r="P238" s="15" t="e">
        <f t="shared" si="22"/>
        <v>#DIV/0!</v>
      </c>
      <c r="Q238" s="10"/>
      <c r="R238" s="201" t="e">
        <f t="shared" si="23"/>
        <v>#DIV/0!</v>
      </c>
      <c r="S238" s="202"/>
      <c r="T238" s="202"/>
      <c r="U238" s="338"/>
      <c r="V238" s="51" t="e">
        <f t="shared" si="24"/>
        <v>#DIV/0!</v>
      </c>
      <c r="W238" s="10"/>
      <c r="X238" s="10"/>
    </row>
    <row r="239" spans="1:24" ht="15.75" customHeight="1" x14ac:dyDescent="0.25">
      <c r="A239" s="6">
        <v>10</v>
      </c>
      <c r="B239" s="124" t="s">
        <v>782</v>
      </c>
      <c r="C239" s="45"/>
      <c r="D239" s="8"/>
      <c r="E239" s="8"/>
      <c r="F239" s="8"/>
      <c r="G239" s="8"/>
      <c r="H239" s="8"/>
      <c r="I239" s="8"/>
      <c r="J239" s="15" t="e">
        <f t="shared" si="20"/>
        <v>#DIV/0!</v>
      </c>
      <c r="K239" s="8"/>
      <c r="L239" s="8"/>
      <c r="M239" s="15" t="e">
        <f t="shared" si="21"/>
        <v>#DIV/0!</v>
      </c>
      <c r="N239" s="8"/>
      <c r="O239" s="8"/>
      <c r="P239" s="15" t="e">
        <f t="shared" si="22"/>
        <v>#DIV/0!</v>
      </c>
      <c r="Q239" s="10"/>
      <c r="R239" s="201" t="e">
        <f t="shared" si="23"/>
        <v>#DIV/0!</v>
      </c>
      <c r="S239" s="202"/>
      <c r="T239" s="202"/>
      <c r="U239" s="338"/>
      <c r="V239" s="51" t="e">
        <f t="shared" si="24"/>
        <v>#DIV/0!</v>
      </c>
      <c r="W239" s="10"/>
      <c r="X239" s="10"/>
    </row>
    <row r="240" spans="1:24" ht="15.75" customHeight="1" x14ac:dyDescent="0.25">
      <c r="A240" s="6">
        <v>11</v>
      </c>
      <c r="B240" s="124" t="s">
        <v>301</v>
      </c>
      <c r="C240" s="45"/>
      <c r="D240" s="8"/>
      <c r="E240" s="8"/>
      <c r="F240" s="8"/>
      <c r="G240" s="8"/>
      <c r="H240" s="8"/>
      <c r="I240" s="8"/>
      <c r="J240" s="15" t="e">
        <f t="shared" si="20"/>
        <v>#DIV/0!</v>
      </c>
      <c r="K240" s="8"/>
      <c r="L240" s="8"/>
      <c r="M240" s="15" t="e">
        <f t="shared" si="21"/>
        <v>#DIV/0!</v>
      </c>
      <c r="N240" s="8"/>
      <c r="O240" s="8"/>
      <c r="P240" s="15" t="e">
        <f t="shared" si="22"/>
        <v>#DIV/0!</v>
      </c>
      <c r="Q240" s="10"/>
      <c r="R240" s="201" t="e">
        <f t="shared" si="23"/>
        <v>#DIV/0!</v>
      </c>
      <c r="S240" s="202"/>
      <c r="T240" s="202"/>
      <c r="U240" s="338"/>
      <c r="V240" s="51" t="e">
        <f t="shared" si="24"/>
        <v>#DIV/0!</v>
      </c>
      <c r="W240" s="10"/>
      <c r="X240" s="10"/>
    </row>
    <row r="241" spans="1:24" ht="15.75" customHeight="1" x14ac:dyDescent="0.25">
      <c r="A241" s="6">
        <v>12</v>
      </c>
      <c r="B241" s="124" t="s">
        <v>175</v>
      </c>
      <c r="C241" s="45"/>
      <c r="D241" s="8"/>
      <c r="E241" s="8"/>
      <c r="F241" s="8"/>
      <c r="G241" s="8"/>
      <c r="H241" s="8"/>
      <c r="I241" s="8"/>
      <c r="J241" s="15" t="e">
        <f t="shared" si="20"/>
        <v>#DIV/0!</v>
      </c>
      <c r="K241" s="8"/>
      <c r="L241" s="8"/>
      <c r="M241" s="15" t="e">
        <f t="shared" si="21"/>
        <v>#DIV/0!</v>
      </c>
      <c r="N241" s="8"/>
      <c r="O241" s="8"/>
      <c r="P241" s="15" t="e">
        <f t="shared" si="22"/>
        <v>#DIV/0!</v>
      </c>
      <c r="Q241" s="10"/>
      <c r="R241" s="201" t="e">
        <f t="shared" si="23"/>
        <v>#DIV/0!</v>
      </c>
      <c r="S241" s="202"/>
      <c r="T241" s="202"/>
      <c r="U241" s="338"/>
      <c r="V241" s="51" t="e">
        <f t="shared" si="24"/>
        <v>#DIV/0!</v>
      </c>
      <c r="W241" s="10"/>
      <c r="X241" s="10"/>
    </row>
    <row r="242" spans="1:24" ht="15.75" customHeight="1" x14ac:dyDescent="0.25">
      <c r="A242" s="6">
        <v>13</v>
      </c>
      <c r="B242" s="125" t="s">
        <v>251</v>
      </c>
      <c r="C242" s="45"/>
      <c r="D242" s="8"/>
      <c r="E242" s="8"/>
      <c r="F242" s="8"/>
      <c r="G242" s="8"/>
      <c r="H242" s="8"/>
      <c r="I242" s="8"/>
      <c r="J242" s="15" t="e">
        <f t="shared" si="20"/>
        <v>#DIV/0!</v>
      </c>
      <c r="K242" s="8"/>
      <c r="L242" s="8"/>
      <c r="M242" s="15" t="e">
        <f t="shared" si="21"/>
        <v>#DIV/0!</v>
      </c>
      <c r="N242" s="8"/>
      <c r="O242" s="8"/>
      <c r="P242" s="15" t="e">
        <f t="shared" si="22"/>
        <v>#DIV/0!</v>
      </c>
      <c r="Q242" s="10"/>
      <c r="R242" s="201" t="e">
        <f t="shared" si="23"/>
        <v>#DIV/0!</v>
      </c>
      <c r="S242" s="202"/>
      <c r="T242" s="202"/>
      <c r="U242" s="338"/>
      <c r="V242" s="51" t="e">
        <f t="shared" si="24"/>
        <v>#DIV/0!</v>
      </c>
      <c r="W242" s="10"/>
      <c r="X242" s="10"/>
    </row>
    <row r="243" spans="1:24" ht="15.75" customHeight="1" x14ac:dyDescent="0.25">
      <c r="A243" s="6">
        <v>14</v>
      </c>
      <c r="B243" s="124" t="s">
        <v>783</v>
      </c>
      <c r="C243" s="45"/>
      <c r="D243" s="8"/>
      <c r="E243" s="8"/>
      <c r="F243" s="8"/>
      <c r="G243" s="8"/>
      <c r="H243" s="8"/>
      <c r="I243" s="8"/>
      <c r="J243" s="15" t="e">
        <f t="shared" si="20"/>
        <v>#DIV/0!</v>
      </c>
      <c r="K243" s="8"/>
      <c r="L243" s="8"/>
      <c r="M243" s="15" t="e">
        <f t="shared" si="21"/>
        <v>#DIV/0!</v>
      </c>
      <c r="N243" s="8"/>
      <c r="O243" s="8"/>
      <c r="P243" s="15" t="e">
        <f t="shared" si="22"/>
        <v>#DIV/0!</v>
      </c>
      <c r="Q243" s="10"/>
      <c r="R243" s="201" t="e">
        <f t="shared" si="23"/>
        <v>#DIV/0!</v>
      </c>
      <c r="S243" s="202"/>
      <c r="T243" s="202"/>
      <c r="U243" s="338"/>
      <c r="V243" s="51" t="e">
        <f t="shared" si="24"/>
        <v>#DIV/0!</v>
      </c>
      <c r="W243" s="10"/>
      <c r="X243" s="10"/>
    </row>
    <row r="244" spans="1:24" ht="15.75" customHeight="1" x14ac:dyDescent="0.25">
      <c r="A244" s="6">
        <v>15</v>
      </c>
      <c r="B244" s="124" t="s">
        <v>310</v>
      </c>
      <c r="C244" s="45"/>
      <c r="D244" s="8"/>
      <c r="E244" s="8"/>
      <c r="F244" s="8"/>
      <c r="G244" s="8"/>
      <c r="H244" s="8"/>
      <c r="I244" s="8"/>
      <c r="J244" s="15" t="e">
        <f t="shared" si="20"/>
        <v>#DIV/0!</v>
      </c>
      <c r="K244" s="8"/>
      <c r="L244" s="8"/>
      <c r="M244" s="15" t="e">
        <f t="shared" si="21"/>
        <v>#DIV/0!</v>
      </c>
      <c r="N244" s="8"/>
      <c r="O244" s="8"/>
      <c r="P244" s="15" t="e">
        <f t="shared" si="22"/>
        <v>#DIV/0!</v>
      </c>
      <c r="Q244" s="10"/>
      <c r="R244" s="201" t="e">
        <f t="shared" si="23"/>
        <v>#DIV/0!</v>
      </c>
      <c r="S244" s="202"/>
      <c r="T244" s="202"/>
      <c r="U244" s="338"/>
      <c r="V244" s="51" t="e">
        <f t="shared" si="24"/>
        <v>#DIV/0!</v>
      </c>
      <c r="W244" s="10"/>
      <c r="X244" s="10"/>
    </row>
    <row r="245" spans="1:24" ht="15.75" customHeight="1" x14ac:dyDescent="0.25">
      <c r="A245" s="6">
        <v>16</v>
      </c>
      <c r="B245" s="124" t="s">
        <v>311</v>
      </c>
      <c r="C245" s="45"/>
      <c r="D245" s="8"/>
      <c r="E245" s="8"/>
      <c r="F245" s="8"/>
      <c r="G245" s="8"/>
      <c r="H245" s="8"/>
      <c r="I245" s="8"/>
      <c r="J245" s="15" t="e">
        <f t="shared" si="20"/>
        <v>#DIV/0!</v>
      </c>
      <c r="K245" s="8"/>
      <c r="L245" s="8"/>
      <c r="M245" s="15" t="e">
        <f t="shared" si="21"/>
        <v>#DIV/0!</v>
      </c>
      <c r="N245" s="8"/>
      <c r="O245" s="8"/>
      <c r="P245" s="15" t="e">
        <f t="shared" si="22"/>
        <v>#DIV/0!</v>
      </c>
      <c r="Q245" s="10"/>
      <c r="R245" s="201" t="e">
        <f t="shared" si="23"/>
        <v>#DIV/0!</v>
      </c>
      <c r="S245" s="202"/>
      <c r="T245" s="202"/>
      <c r="U245" s="338"/>
      <c r="V245" s="51" t="e">
        <f t="shared" si="24"/>
        <v>#DIV/0!</v>
      </c>
      <c r="W245" s="10"/>
      <c r="X245" s="10"/>
    </row>
    <row r="246" spans="1:24" ht="15.75" customHeight="1" x14ac:dyDescent="0.25">
      <c r="A246" s="6">
        <v>17</v>
      </c>
      <c r="B246" s="124" t="s">
        <v>270</v>
      </c>
      <c r="C246" s="45"/>
      <c r="D246" s="8"/>
      <c r="E246" s="8"/>
      <c r="F246" s="8"/>
      <c r="G246" s="8"/>
      <c r="H246" s="8"/>
      <c r="I246" s="13"/>
      <c r="J246" s="15" t="e">
        <f t="shared" si="20"/>
        <v>#DIV/0!</v>
      </c>
      <c r="K246" s="8"/>
      <c r="L246" s="8"/>
      <c r="M246" s="15" t="e">
        <f t="shared" si="21"/>
        <v>#DIV/0!</v>
      </c>
      <c r="N246" s="8"/>
      <c r="O246" s="8"/>
      <c r="P246" s="15" t="e">
        <f t="shared" si="22"/>
        <v>#DIV/0!</v>
      </c>
      <c r="Q246" s="10"/>
      <c r="R246" s="201" t="e">
        <f t="shared" si="23"/>
        <v>#DIV/0!</v>
      </c>
      <c r="S246" s="202"/>
      <c r="T246" s="202"/>
      <c r="U246" s="338"/>
      <c r="V246" s="51" t="e">
        <f t="shared" si="24"/>
        <v>#DIV/0!</v>
      </c>
      <c r="W246" s="10"/>
      <c r="X246" s="10"/>
    </row>
    <row r="247" spans="1:24" ht="15.75" customHeight="1" x14ac:dyDescent="0.25">
      <c r="A247" s="6">
        <v>18</v>
      </c>
      <c r="B247" s="124" t="s">
        <v>194</v>
      </c>
      <c r="C247" s="45"/>
      <c r="D247" s="8"/>
      <c r="E247" s="8"/>
      <c r="F247" s="8"/>
      <c r="G247" s="8"/>
      <c r="H247" s="8"/>
      <c r="I247" s="8"/>
      <c r="J247" s="15" t="e">
        <f t="shared" si="20"/>
        <v>#DIV/0!</v>
      </c>
      <c r="K247" s="8"/>
      <c r="L247" s="8"/>
      <c r="M247" s="15" t="e">
        <f t="shared" si="21"/>
        <v>#DIV/0!</v>
      </c>
      <c r="N247" s="8"/>
      <c r="O247" s="8"/>
      <c r="P247" s="15" t="e">
        <f t="shared" si="22"/>
        <v>#DIV/0!</v>
      </c>
      <c r="Q247" s="10"/>
      <c r="R247" s="201" t="e">
        <f t="shared" si="23"/>
        <v>#DIV/0!</v>
      </c>
      <c r="S247" s="202"/>
      <c r="T247" s="202"/>
      <c r="U247" s="338"/>
      <c r="V247" s="51" t="e">
        <f t="shared" si="24"/>
        <v>#DIV/0!</v>
      </c>
      <c r="W247" s="10"/>
      <c r="X247" s="10"/>
    </row>
    <row r="248" spans="1:24" ht="15.75" customHeight="1" x14ac:dyDescent="0.25">
      <c r="A248" s="6">
        <v>19</v>
      </c>
      <c r="B248" s="124" t="s">
        <v>238</v>
      </c>
      <c r="C248" s="45"/>
      <c r="D248" s="8"/>
      <c r="E248" s="8"/>
      <c r="F248" s="8"/>
      <c r="G248" s="8"/>
      <c r="H248" s="8"/>
      <c r="I248" s="8"/>
      <c r="J248" s="15" t="e">
        <f t="shared" si="20"/>
        <v>#DIV/0!</v>
      </c>
      <c r="K248" s="8"/>
      <c r="L248" s="8"/>
      <c r="M248" s="15" t="e">
        <f t="shared" si="21"/>
        <v>#DIV/0!</v>
      </c>
      <c r="N248" s="8"/>
      <c r="O248" s="8"/>
      <c r="P248" s="15" t="e">
        <f t="shared" si="22"/>
        <v>#DIV/0!</v>
      </c>
      <c r="Q248" s="10"/>
      <c r="R248" s="201" t="e">
        <f t="shared" si="23"/>
        <v>#DIV/0!</v>
      </c>
      <c r="S248" s="202"/>
      <c r="T248" s="202"/>
      <c r="U248" s="338"/>
      <c r="V248" s="51" t="e">
        <f t="shared" si="24"/>
        <v>#DIV/0!</v>
      </c>
      <c r="W248" s="10"/>
      <c r="X248" s="10"/>
    </row>
    <row r="249" spans="1:24" ht="15.75" customHeight="1" x14ac:dyDescent="0.25">
      <c r="A249" s="6">
        <v>20</v>
      </c>
      <c r="B249" s="124" t="s">
        <v>899</v>
      </c>
      <c r="C249" s="45"/>
      <c r="D249" s="8"/>
      <c r="E249" s="8"/>
      <c r="F249" s="8"/>
      <c r="G249" s="8"/>
      <c r="H249" s="8"/>
      <c r="I249" s="8"/>
      <c r="J249" s="15" t="e">
        <f t="shared" si="20"/>
        <v>#DIV/0!</v>
      </c>
      <c r="K249" s="8"/>
      <c r="L249" s="8"/>
      <c r="M249" s="15" t="e">
        <f t="shared" si="21"/>
        <v>#DIV/0!</v>
      </c>
      <c r="N249" s="8"/>
      <c r="O249" s="8"/>
      <c r="P249" s="15" t="e">
        <f t="shared" si="22"/>
        <v>#DIV/0!</v>
      </c>
      <c r="Q249" s="10"/>
      <c r="R249" s="201" t="e">
        <f t="shared" si="23"/>
        <v>#DIV/0!</v>
      </c>
      <c r="S249" s="202"/>
      <c r="T249" s="202"/>
      <c r="U249" s="338"/>
      <c r="V249" s="51" t="e">
        <f t="shared" si="24"/>
        <v>#DIV/0!</v>
      </c>
      <c r="W249" s="10"/>
      <c r="X249" s="10"/>
    </row>
    <row r="250" spans="1:24" ht="15.75" customHeight="1" x14ac:dyDescent="0.25">
      <c r="A250" s="6">
        <v>21</v>
      </c>
      <c r="B250" s="124" t="s">
        <v>328</v>
      </c>
      <c r="C250" s="45"/>
      <c r="D250" s="8"/>
      <c r="E250" s="8"/>
      <c r="F250" s="8"/>
      <c r="G250" s="8"/>
      <c r="H250" s="8"/>
      <c r="I250" s="8"/>
      <c r="J250" s="15" t="e">
        <f t="shared" si="20"/>
        <v>#DIV/0!</v>
      </c>
      <c r="K250" s="8"/>
      <c r="L250" s="8"/>
      <c r="M250" s="15" t="e">
        <f t="shared" si="21"/>
        <v>#DIV/0!</v>
      </c>
      <c r="N250" s="8"/>
      <c r="O250" s="8"/>
      <c r="P250" s="15" t="e">
        <f t="shared" si="22"/>
        <v>#DIV/0!</v>
      </c>
      <c r="Q250" s="10"/>
      <c r="R250" s="201" t="e">
        <f t="shared" si="23"/>
        <v>#DIV/0!</v>
      </c>
      <c r="S250" s="202"/>
      <c r="T250" s="202"/>
      <c r="U250" s="338"/>
      <c r="V250" s="51" t="e">
        <f t="shared" si="24"/>
        <v>#DIV/0!</v>
      </c>
      <c r="W250" s="10"/>
      <c r="X250" s="10"/>
    </row>
    <row r="251" spans="1:24" ht="15.75" customHeight="1" x14ac:dyDescent="0.25">
      <c r="A251" s="6">
        <v>22</v>
      </c>
      <c r="B251" s="124" t="s">
        <v>303</v>
      </c>
      <c r="C251" s="45"/>
      <c r="D251" s="8"/>
      <c r="E251" s="8"/>
      <c r="F251" s="8"/>
      <c r="G251" s="8"/>
      <c r="H251" s="8"/>
      <c r="I251" s="8"/>
      <c r="J251" s="15" t="e">
        <f t="shared" si="20"/>
        <v>#DIV/0!</v>
      </c>
      <c r="K251" s="8"/>
      <c r="L251" s="8"/>
      <c r="M251" s="15" t="e">
        <f t="shared" si="21"/>
        <v>#DIV/0!</v>
      </c>
      <c r="N251" s="8"/>
      <c r="O251" s="8"/>
      <c r="P251" s="15" t="e">
        <f t="shared" si="22"/>
        <v>#DIV/0!</v>
      </c>
      <c r="Q251" s="10"/>
      <c r="R251" s="201" t="e">
        <f t="shared" si="23"/>
        <v>#DIV/0!</v>
      </c>
      <c r="S251" s="202"/>
      <c r="T251" s="202"/>
      <c r="U251" s="338"/>
      <c r="V251" s="51" t="e">
        <f t="shared" si="24"/>
        <v>#DIV/0!</v>
      </c>
      <c r="W251" s="10"/>
      <c r="X251" s="10"/>
    </row>
    <row r="252" spans="1:24" ht="15.75" customHeight="1" x14ac:dyDescent="0.25">
      <c r="A252" s="6">
        <v>23</v>
      </c>
      <c r="B252" s="124" t="s">
        <v>331</v>
      </c>
      <c r="C252" s="45"/>
      <c r="D252" s="8"/>
      <c r="E252" s="8"/>
      <c r="F252" s="8"/>
      <c r="G252" s="8"/>
      <c r="H252" s="8"/>
      <c r="I252" s="8"/>
      <c r="J252" s="15" t="e">
        <f t="shared" si="20"/>
        <v>#DIV/0!</v>
      </c>
      <c r="K252" s="8"/>
      <c r="L252" s="8"/>
      <c r="M252" s="15" t="e">
        <f t="shared" si="21"/>
        <v>#DIV/0!</v>
      </c>
      <c r="N252" s="8"/>
      <c r="O252" s="8"/>
      <c r="P252" s="15" t="e">
        <f t="shared" si="22"/>
        <v>#DIV/0!</v>
      </c>
      <c r="Q252" s="10"/>
      <c r="R252" s="201" t="e">
        <f t="shared" si="23"/>
        <v>#DIV/0!</v>
      </c>
      <c r="S252" s="202"/>
      <c r="T252" s="202"/>
      <c r="U252" s="338"/>
      <c r="V252" s="51" t="e">
        <f t="shared" si="24"/>
        <v>#DIV/0!</v>
      </c>
      <c r="W252" s="10"/>
      <c r="X252" s="10"/>
    </row>
    <row r="253" spans="1:24" ht="15.75" customHeight="1" x14ac:dyDescent="0.25">
      <c r="A253" s="6">
        <v>24</v>
      </c>
      <c r="B253" s="124" t="s">
        <v>221</v>
      </c>
      <c r="C253" s="45"/>
      <c r="D253" s="8"/>
      <c r="E253" s="8"/>
      <c r="F253" s="8"/>
      <c r="G253" s="8"/>
      <c r="H253" s="8"/>
      <c r="I253" s="8"/>
      <c r="J253" s="15" t="e">
        <f t="shared" si="20"/>
        <v>#DIV/0!</v>
      </c>
      <c r="K253" s="8"/>
      <c r="L253" s="8"/>
      <c r="M253" s="15" t="e">
        <f t="shared" si="21"/>
        <v>#DIV/0!</v>
      </c>
      <c r="N253" s="8"/>
      <c r="O253" s="8"/>
      <c r="P253" s="15" t="e">
        <f t="shared" si="22"/>
        <v>#DIV/0!</v>
      </c>
      <c r="Q253" s="10"/>
      <c r="R253" s="201" t="e">
        <f t="shared" si="23"/>
        <v>#DIV/0!</v>
      </c>
      <c r="S253" s="202"/>
      <c r="T253" s="202"/>
      <c r="U253" s="338"/>
      <c r="V253" s="51" t="e">
        <f t="shared" si="24"/>
        <v>#DIV/0!</v>
      </c>
      <c r="W253" s="10"/>
      <c r="X253" s="10"/>
    </row>
    <row r="254" spans="1:24" ht="15.75" customHeight="1" x14ac:dyDescent="0.25">
      <c r="A254" s="6">
        <v>25</v>
      </c>
      <c r="B254" s="124" t="s">
        <v>289</v>
      </c>
      <c r="C254" s="45"/>
      <c r="D254" s="8"/>
      <c r="E254" s="8"/>
      <c r="F254" s="8"/>
      <c r="G254" s="8"/>
      <c r="H254" s="8"/>
      <c r="I254" s="8"/>
      <c r="J254" s="15" t="e">
        <f t="shared" si="20"/>
        <v>#DIV/0!</v>
      </c>
      <c r="K254" s="8"/>
      <c r="L254" s="8"/>
      <c r="M254" s="15" t="e">
        <f t="shared" si="21"/>
        <v>#DIV/0!</v>
      </c>
      <c r="N254" s="8"/>
      <c r="O254" s="8"/>
      <c r="P254" s="15" t="e">
        <f t="shared" si="22"/>
        <v>#DIV/0!</v>
      </c>
      <c r="Q254" s="10"/>
      <c r="R254" s="201" t="e">
        <f t="shared" si="23"/>
        <v>#DIV/0!</v>
      </c>
      <c r="S254" s="202"/>
      <c r="T254" s="202"/>
      <c r="U254" s="338"/>
      <c r="V254" s="51" t="e">
        <f t="shared" si="24"/>
        <v>#DIV/0!</v>
      </c>
      <c r="W254" s="10"/>
      <c r="X254" s="10"/>
    </row>
    <row r="255" spans="1:24" ht="15.75" customHeight="1" x14ac:dyDescent="0.25">
      <c r="A255" s="6">
        <v>26</v>
      </c>
      <c r="B255" s="124" t="s">
        <v>200</v>
      </c>
      <c r="C255" s="45"/>
      <c r="D255" s="8"/>
      <c r="E255" s="8"/>
      <c r="F255" s="8"/>
      <c r="G255" s="8"/>
      <c r="H255" s="8"/>
      <c r="I255" s="8"/>
      <c r="J255" s="15" t="e">
        <f t="shared" si="20"/>
        <v>#DIV/0!</v>
      </c>
      <c r="K255" s="8"/>
      <c r="L255" s="8"/>
      <c r="M255" s="15" t="e">
        <f t="shared" si="21"/>
        <v>#DIV/0!</v>
      </c>
      <c r="N255" s="8"/>
      <c r="O255" s="8"/>
      <c r="P255" s="15" t="e">
        <f t="shared" si="22"/>
        <v>#DIV/0!</v>
      </c>
      <c r="Q255" s="10"/>
      <c r="R255" s="201" t="e">
        <f t="shared" si="23"/>
        <v>#DIV/0!</v>
      </c>
      <c r="S255" s="202"/>
      <c r="T255" s="202"/>
      <c r="U255" s="338"/>
      <c r="V255" s="51" t="e">
        <f t="shared" si="24"/>
        <v>#DIV/0!</v>
      </c>
      <c r="W255" s="10"/>
      <c r="X255" s="10"/>
    </row>
    <row r="256" spans="1:24" ht="15.75" customHeight="1" x14ac:dyDescent="0.25">
      <c r="A256" s="6">
        <v>27</v>
      </c>
      <c r="B256" s="67" t="s">
        <v>408</v>
      </c>
      <c r="C256" s="45"/>
      <c r="D256" s="8"/>
      <c r="E256" s="8"/>
      <c r="F256" s="8"/>
      <c r="G256" s="8"/>
      <c r="H256" s="8"/>
      <c r="I256" s="8"/>
      <c r="J256" s="15" t="e">
        <f t="shared" si="20"/>
        <v>#DIV/0!</v>
      </c>
      <c r="K256" s="8"/>
      <c r="L256" s="8"/>
      <c r="M256" s="15" t="e">
        <f t="shared" si="21"/>
        <v>#DIV/0!</v>
      </c>
      <c r="N256" s="8"/>
      <c r="O256" s="8"/>
      <c r="P256" s="15" t="e">
        <f t="shared" si="22"/>
        <v>#DIV/0!</v>
      </c>
      <c r="Q256" s="10"/>
      <c r="R256" s="201" t="e">
        <f t="shared" si="23"/>
        <v>#DIV/0!</v>
      </c>
      <c r="S256" s="202"/>
      <c r="T256" s="202"/>
      <c r="U256" s="338"/>
      <c r="V256" s="51" t="e">
        <f t="shared" si="24"/>
        <v>#DIV/0!</v>
      </c>
      <c r="W256" s="10"/>
      <c r="X256" s="10"/>
    </row>
    <row r="257" spans="1:24" ht="15.75" customHeight="1" x14ac:dyDescent="0.25">
      <c r="A257" s="6">
        <v>28</v>
      </c>
      <c r="B257" s="124" t="s">
        <v>333</v>
      </c>
      <c r="C257" s="45"/>
      <c r="D257" s="8"/>
      <c r="E257" s="8"/>
      <c r="F257" s="8"/>
      <c r="G257" s="8"/>
      <c r="H257" s="8"/>
      <c r="I257" s="8"/>
      <c r="J257" s="15" t="e">
        <f t="shared" si="20"/>
        <v>#DIV/0!</v>
      </c>
      <c r="K257" s="8"/>
      <c r="L257" s="8"/>
      <c r="M257" s="15" t="e">
        <f t="shared" si="21"/>
        <v>#DIV/0!</v>
      </c>
      <c r="N257" s="8"/>
      <c r="O257" s="8"/>
      <c r="P257" s="15" t="e">
        <f t="shared" si="22"/>
        <v>#DIV/0!</v>
      </c>
      <c r="Q257" s="10"/>
      <c r="R257" s="201" t="e">
        <f t="shared" si="23"/>
        <v>#DIV/0!</v>
      </c>
      <c r="S257" s="202"/>
      <c r="T257" s="202"/>
      <c r="U257" s="338"/>
      <c r="V257" s="51" t="e">
        <f t="shared" si="24"/>
        <v>#DIV/0!</v>
      </c>
      <c r="W257" s="10"/>
      <c r="X257" s="10"/>
    </row>
    <row r="258" spans="1:24" ht="15.75" customHeight="1" x14ac:dyDescent="0.25">
      <c r="A258" s="6">
        <v>29</v>
      </c>
      <c r="B258" s="124" t="s">
        <v>202</v>
      </c>
      <c r="C258" s="45"/>
      <c r="D258" s="8"/>
      <c r="E258" s="8"/>
      <c r="F258" s="8"/>
      <c r="G258" s="8"/>
      <c r="H258" s="8"/>
      <c r="I258" s="8"/>
      <c r="J258" s="15" t="e">
        <f t="shared" si="20"/>
        <v>#DIV/0!</v>
      </c>
      <c r="K258" s="8"/>
      <c r="L258" s="8"/>
      <c r="M258" s="15" t="e">
        <f t="shared" si="21"/>
        <v>#DIV/0!</v>
      </c>
      <c r="N258" s="8"/>
      <c r="O258" s="8"/>
      <c r="P258" s="15" t="e">
        <f t="shared" si="22"/>
        <v>#DIV/0!</v>
      </c>
      <c r="Q258" s="10"/>
      <c r="R258" s="201" t="e">
        <f t="shared" si="23"/>
        <v>#DIV/0!</v>
      </c>
      <c r="S258" s="202"/>
      <c r="T258" s="202"/>
      <c r="U258" s="338"/>
      <c r="V258" s="51" t="e">
        <f t="shared" si="24"/>
        <v>#DIV/0!</v>
      </c>
      <c r="W258" s="10"/>
      <c r="X258" s="10"/>
    </row>
    <row r="259" spans="1:24" ht="15.75" customHeight="1" x14ac:dyDescent="0.25">
      <c r="A259" s="6">
        <v>30</v>
      </c>
      <c r="B259" s="124" t="s">
        <v>334</v>
      </c>
      <c r="C259" s="45"/>
      <c r="D259" s="8"/>
      <c r="E259" s="8"/>
      <c r="F259" s="8"/>
      <c r="G259" s="8"/>
      <c r="H259" s="8"/>
      <c r="I259" s="8"/>
      <c r="J259" s="15" t="e">
        <f t="shared" si="20"/>
        <v>#DIV/0!</v>
      </c>
      <c r="K259" s="8"/>
      <c r="L259" s="8"/>
      <c r="M259" s="15" t="e">
        <f t="shared" si="21"/>
        <v>#DIV/0!</v>
      </c>
      <c r="N259" s="8"/>
      <c r="O259" s="8"/>
      <c r="P259" s="15" t="e">
        <f t="shared" si="22"/>
        <v>#DIV/0!</v>
      </c>
      <c r="Q259" s="10"/>
      <c r="R259" s="201" t="e">
        <f t="shared" si="23"/>
        <v>#DIV/0!</v>
      </c>
      <c r="S259" s="202"/>
      <c r="T259" s="202"/>
      <c r="U259" s="338"/>
      <c r="V259" s="51" t="e">
        <f t="shared" si="24"/>
        <v>#DIV/0!</v>
      </c>
      <c r="W259" s="10"/>
      <c r="X259" s="10"/>
    </row>
    <row r="260" spans="1:24" ht="15.75" customHeight="1" x14ac:dyDescent="0.25">
      <c r="A260" s="6">
        <v>31</v>
      </c>
      <c r="B260" s="124" t="s">
        <v>335</v>
      </c>
      <c r="C260" s="45"/>
      <c r="D260" s="8"/>
      <c r="E260" s="8"/>
      <c r="F260" s="8"/>
      <c r="G260" s="8"/>
      <c r="H260" s="8"/>
      <c r="I260" s="8"/>
      <c r="J260" s="15" t="e">
        <f t="shared" si="20"/>
        <v>#DIV/0!</v>
      </c>
      <c r="K260" s="8"/>
      <c r="L260" s="8"/>
      <c r="M260" s="15" t="e">
        <f t="shared" si="21"/>
        <v>#DIV/0!</v>
      </c>
      <c r="N260" s="8"/>
      <c r="O260" s="8"/>
      <c r="P260" s="15" t="e">
        <f t="shared" si="22"/>
        <v>#DIV/0!</v>
      </c>
      <c r="Q260" s="10"/>
      <c r="R260" s="201" t="e">
        <f t="shared" si="23"/>
        <v>#DIV/0!</v>
      </c>
      <c r="S260" s="202"/>
      <c r="T260" s="202"/>
      <c r="U260" s="338"/>
      <c r="V260" s="51" t="e">
        <f t="shared" si="24"/>
        <v>#DIV/0!</v>
      </c>
      <c r="W260" s="10"/>
      <c r="X260" s="10"/>
    </row>
    <row r="261" spans="1:24" ht="15.75" customHeight="1" x14ac:dyDescent="0.25">
      <c r="A261" s="6">
        <v>32</v>
      </c>
      <c r="B261" s="124" t="s">
        <v>336</v>
      </c>
      <c r="C261" s="45"/>
      <c r="D261" s="8"/>
      <c r="E261" s="8"/>
      <c r="F261" s="8"/>
      <c r="G261" s="8"/>
      <c r="H261" s="8"/>
      <c r="I261" s="8"/>
      <c r="J261" s="15" t="e">
        <f t="shared" si="20"/>
        <v>#DIV/0!</v>
      </c>
      <c r="K261" s="8"/>
      <c r="L261" s="8"/>
      <c r="M261" s="15" t="e">
        <f t="shared" si="21"/>
        <v>#DIV/0!</v>
      </c>
      <c r="N261" s="8"/>
      <c r="O261" s="8"/>
      <c r="P261" s="15" t="e">
        <f t="shared" si="22"/>
        <v>#DIV/0!</v>
      </c>
      <c r="Q261" s="10"/>
      <c r="R261" s="201" t="e">
        <f t="shared" si="23"/>
        <v>#DIV/0!</v>
      </c>
      <c r="S261" s="202"/>
      <c r="T261" s="202"/>
      <c r="U261" s="338"/>
      <c r="V261" s="51" t="e">
        <f t="shared" si="24"/>
        <v>#DIV/0!</v>
      </c>
      <c r="W261" s="10"/>
      <c r="X261" s="10"/>
    </row>
    <row r="262" spans="1:24" ht="15.75" customHeight="1" x14ac:dyDescent="0.25">
      <c r="A262" s="6">
        <v>33</v>
      </c>
      <c r="B262" s="124" t="s">
        <v>243</v>
      </c>
      <c r="C262" s="45"/>
      <c r="D262" s="8"/>
      <c r="E262" s="8"/>
      <c r="F262" s="8"/>
      <c r="G262" s="8"/>
      <c r="H262" s="8"/>
      <c r="I262" s="8"/>
      <c r="J262" s="15" t="e">
        <f t="shared" si="20"/>
        <v>#DIV/0!</v>
      </c>
      <c r="K262" s="8"/>
      <c r="L262" s="8"/>
      <c r="M262" s="15" t="e">
        <f t="shared" si="21"/>
        <v>#DIV/0!</v>
      </c>
      <c r="N262" s="8"/>
      <c r="O262" s="8"/>
      <c r="P262" s="15" t="e">
        <f t="shared" si="22"/>
        <v>#DIV/0!</v>
      </c>
      <c r="Q262" s="10"/>
      <c r="R262" s="201" t="e">
        <f t="shared" si="23"/>
        <v>#DIV/0!</v>
      </c>
      <c r="S262" s="202"/>
      <c r="T262" s="202"/>
      <c r="U262" s="338"/>
      <c r="V262" s="51" t="e">
        <f t="shared" si="24"/>
        <v>#DIV/0!</v>
      </c>
      <c r="W262" s="10"/>
      <c r="X262" s="10"/>
    </row>
    <row r="263" spans="1:24" ht="15.75" customHeight="1" x14ac:dyDescent="0.25">
      <c r="A263" s="6">
        <v>34</v>
      </c>
      <c r="B263" s="113"/>
      <c r="C263" s="45"/>
      <c r="D263" s="8"/>
      <c r="E263" s="8"/>
      <c r="F263" s="8"/>
      <c r="G263" s="8"/>
      <c r="H263" s="8"/>
      <c r="I263" s="8"/>
      <c r="J263" s="15" t="e">
        <f t="shared" si="20"/>
        <v>#DIV/0!</v>
      </c>
      <c r="K263" s="8"/>
      <c r="L263" s="8"/>
      <c r="M263" s="15" t="e">
        <f t="shared" si="21"/>
        <v>#DIV/0!</v>
      </c>
      <c r="N263" s="8"/>
      <c r="O263" s="8"/>
      <c r="P263" s="15" t="e">
        <f t="shared" si="22"/>
        <v>#DIV/0!</v>
      </c>
      <c r="Q263" s="10"/>
      <c r="R263" s="201" t="e">
        <f t="shared" si="23"/>
        <v>#DIV/0!</v>
      </c>
      <c r="S263" s="202"/>
      <c r="T263" s="202"/>
      <c r="U263" s="338"/>
      <c r="V263" s="51" t="e">
        <f t="shared" si="24"/>
        <v>#DIV/0!</v>
      </c>
      <c r="W263" s="10"/>
      <c r="X263" s="10"/>
    </row>
    <row r="264" spans="1:24" ht="15.75" customHeight="1" x14ac:dyDescent="0.25">
      <c r="A264" s="6">
        <v>35</v>
      </c>
      <c r="B264" s="113"/>
      <c r="C264" s="45"/>
      <c r="D264" s="8"/>
      <c r="E264" s="8"/>
      <c r="F264" s="8"/>
      <c r="G264" s="8"/>
      <c r="H264" s="8"/>
      <c r="I264" s="8"/>
      <c r="J264" s="15" t="e">
        <f t="shared" si="20"/>
        <v>#DIV/0!</v>
      </c>
      <c r="K264" s="8"/>
      <c r="L264" s="8"/>
      <c r="M264" s="15" t="e">
        <f t="shared" si="21"/>
        <v>#DIV/0!</v>
      </c>
      <c r="N264" s="8"/>
      <c r="O264" s="8"/>
      <c r="P264" s="15" t="e">
        <f t="shared" si="22"/>
        <v>#DIV/0!</v>
      </c>
      <c r="Q264" s="10"/>
      <c r="R264" s="201" t="e">
        <f t="shared" si="23"/>
        <v>#DIV/0!</v>
      </c>
      <c r="S264" s="202"/>
      <c r="T264" s="202"/>
      <c r="U264" s="338"/>
      <c r="V264" s="51" t="e">
        <f t="shared" si="24"/>
        <v>#DIV/0!</v>
      </c>
      <c r="W264" s="10"/>
      <c r="X264" s="10"/>
    </row>
    <row r="265" spans="1:24" ht="15.75" customHeight="1" x14ac:dyDescent="0.25">
      <c r="A265" s="6">
        <v>36</v>
      </c>
      <c r="B265" s="94"/>
      <c r="C265" s="45"/>
      <c r="D265" s="8"/>
      <c r="E265" s="8"/>
      <c r="F265" s="8"/>
      <c r="G265" s="8"/>
      <c r="H265" s="8"/>
      <c r="I265" s="8"/>
      <c r="J265" s="15" t="e">
        <f t="shared" si="20"/>
        <v>#DIV/0!</v>
      </c>
      <c r="K265" s="8"/>
      <c r="L265" s="8"/>
      <c r="M265" s="15" t="e">
        <f t="shared" si="21"/>
        <v>#DIV/0!</v>
      </c>
      <c r="N265" s="8"/>
      <c r="O265" s="8"/>
      <c r="P265" s="15" t="e">
        <f t="shared" si="22"/>
        <v>#DIV/0!</v>
      </c>
      <c r="Q265" s="10"/>
      <c r="R265" s="201" t="e">
        <f t="shared" si="23"/>
        <v>#DIV/0!</v>
      </c>
      <c r="S265" s="202"/>
      <c r="T265" s="202"/>
      <c r="U265" s="338"/>
      <c r="V265" s="51" t="e">
        <f t="shared" si="24"/>
        <v>#DIV/0!</v>
      </c>
      <c r="W265" s="10"/>
      <c r="X265" s="10"/>
    </row>
    <row r="266" spans="1:24" ht="15.75" customHeight="1" x14ac:dyDescent="0.25">
      <c r="A266" s="6">
        <v>37</v>
      </c>
      <c r="B266" s="91"/>
      <c r="C266" s="45"/>
      <c r="D266" s="8"/>
      <c r="E266" s="8"/>
      <c r="F266" s="8"/>
      <c r="G266" s="8"/>
      <c r="H266" s="8"/>
      <c r="I266" s="8"/>
      <c r="J266" s="15" t="e">
        <f t="shared" si="20"/>
        <v>#DIV/0!</v>
      </c>
      <c r="K266" s="8"/>
      <c r="L266" s="8"/>
      <c r="M266" s="15" t="e">
        <f t="shared" si="21"/>
        <v>#DIV/0!</v>
      </c>
      <c r="N266" s="8"/>
      <c r="O266" s="8"/>
      <c r="P266" s="15" t="e">
        <f t="shared" si="22"/>
        <v>#DIV/0!</v>
      </c>
      <c r="Q266" s="10"/>
      <c r="R266" s="201" t="e">
        <f t="shared" si="23"/>
        <v>#DIV/0!</v>
      </c>
      <c r="S266" s="202"/>
      <c r="T266" s="202"/>
      <c r="U266" s="338"/>
      <c r="V266" s="51" t="e">
        <f t="shared" si="24"/>
        <v>#DIV/0!</v>
      </c>
      <c r="W266" s="10"/>
      <c r="X266" s="10"/>
    </row>
    <row r="267" spans="1:24" ht="15.75" customHeight="1" x14ac:dyDescent="0.25">
      <c r="A267" s="6">
        <v>38</v>
      </c>
      <c r="B267" s="91"/>
      <c r="C267" s="45"/>
      <c r="D267" s="8"/>
      <c r="E267" s="8"/>
      <c r="F267" s="8"/>
      <c r="G267" s="8"/>
      <c r="H267" s="8"/>
      <c r="I267" s="8"/>
      <c r="J267" s="15" t="e">
        <f t="shared" si="20"/>
        <v>#DIV/0!</v>
      </c>
      <c r="K267" s="8"/>
      <c r="L267" s="8"/>
      <c r="M267" s="15" t="e">
        <f t="shared" si="21"/>
        <v>#DIV/0!</v>
      </c>
      <c r="N267" s="8"/>
      <c r="O267" s="8"/>
      <c r="P267" s="15" t="e">
        <f t="shared" si="22"/>
        <v>#DIV/0!</v>
      </c>
      <c r="Q267" s="10"/>
      <c r="R267" s="201" t="e">
        <f t="shared" si="23"/>
        <v>#DIV/0!</v>
      </c>
      <c r="S267" s="202"/>
      <c r="T267" s="202"/>
      <c r="U267" s="338"/>
      <c r="V267" s="51" t="e">
        <f t="shared" si="24"/>
        <v>#DIV/0!</v>
      </c>
      <c r="W267" s="10"/>
      <c r="X267" s="10"/>
    </row>
    <row r="268" spans="1:24" ht="15.75" customHeight="1" x14ac:dyDescent="0.25">
      <c r="A268" s="6">
        <v>39</v>
      </c>
      <c r="B268" s="94"/>
      <c r="C268" s="45"/>
      <c r="D268" s="8"/>
      <c r="E268" s="8"/>
      <c r="F268" s="8"/>
      <c r="G268" s="8"/>
      <c r="H268" s="8"/>
      <c r="I268" s="8"/>
      <c r="J268" s="15" t="e">
        <f t="shared" si="20"/>
        <v>#DIV/0!</v>
      </c>
      <c r="K268" s="8"/>
      <c r="L268" s="8"/>
      <c r="M268" s="15" t="e">
        <f t="shared" si="21"/>
        <v>#DIV/0!</v>
      </c>
      <c r="N268" s="8"/>
      <c r="O268" s="8"/>
      <c r="P268" s="15" t="e">
        <f t="shared" si="22"/>
        <v>#DIV/0!</v>
      </c>
      <c r="Q268" s="10"/>
      <c r="R268" s="201" t="e">
        <f t="shared" si="23"/>
        <v>#DIV/0!</v>
      </c>
      <c r="S268" s="202"/>
      <c r="T268" s="202"/>
      <c r="U268" s="338"/>
      <c r="V268" s="51" t="e">
        <f t="shared" si="24"/>
        <v>#DIV/0!</v>
      </c>
      <c r="W268" s="10"/>
      <c r="X268" s="10"/>
    </row>
    <row r="269" spans="1:24" ht="15.75" customHeight="1" x14ac:dyDescent="0.25">
      <c r="A269" s="6">
        <v>40</v>
      </c>
      <c r="B269" s="91"/>
      <c r="C269" s="45"/>
      <c r="D269" s="8"/>
      <c r="E269" s="8"/>
      <c r="F269" s="8"/>
      <c r="G269" s="8"/>
      <c r="H269" s="8"/>
      <c r="I269" s="8"/>
      <c r="J269" s="15" t="e">
        <f t="shared" si="20"/>
        <v>#DIV/0!</v>
      </c>
      <c r="K269" s="8"/>
      <c r="L269" s="8"/>
      <c r="M269" s="15" t="e">
        <f t="shared" si="21"/>
        <v>#DIV/0!</v>
      </c>
      <c r="N269" s="8"/>
      <c r="O269" s="8"/>
      <c r="P269" s="15" t="e">
        <f t="shared" si="22"/>
        <v>#DIV/0!</v>
      </c>
      <c r="Q269" s="10"/>
      <c r="R269" s="201" t="e">
        <f t="shared" si="23"/>
        <v>#DIV/0!</v>
      </c>
      <c r="S269" s="202"/>
      <c r="T269" s="202"/>
      <c r="U269" s="338"/>
      <c r="V269" s="51" t="e">
        <f t="shared" si="24"/>
        <v>#DIV/0!</v>
      </c>
      <c r="W269" s="10"/>
      <c r="X269" s="10"/>
    </row>
    <row r="270" spans="1:24" ht="15.75" customHeight="1" x14ac:dyDescent="0.25">
      <c r="A270" s="6">
        <v>41</v>
      </c>
      <c r="B270" s="94"/>
      <c r="C270" s="45"/>
      <c r="D270" s="8"/>
      <c r="E270" s="8"/>
      <c r="F270" s="8"/>
      <c r="G270" s="8"/>
      <c r="H270" s="8"/>
      <c r="I270" s="8"/>
      <c r="J270" s="15" t="e">
        <f t="shared" si="20"/>
        <v>#DIV/0!</v>
      </c>
      <c r="K270" s="8"/>
      <c r="L270" s="8"/>
      <c r="M270" s="15" t="e">
        <f t="shared" si="21"/>
        <v>#DIV/0!</v>
      </c>
      <c r="N270" s="8"/>
      <c r="O270" s="8"/>
      <c r="P270" s="15" t="e">
        <f t="shared" si="22"/>
        <v>#DIV/0!</v>
      </c>
      <c r="Q270" s="10"/>
      <c r="R270" s="201" t="e">
        <f t="shared" si="23"/>
        <v>#DIV/0!</v>
      </c>
      <c r="S270" s="202"/>
      <c r="T270" s="202"/>
      <c r="U270" s="338"/>
      <c r="V270" s="51" t="e">
        <f t="shared" si="24"/>
        <v>#DIV/0!</v>
      </c>
      <c r="W270" s="10"/>
      <c r="X270" s="10"/>
    </row>
    <row r="271" spans="1:24" ht="15.75" customHeight="1" x14ac:dyDescent="0.25">
      <c r="A271" s="6">
        <v>42</v>
      </c>
      <c r="B271" s="94"/>
      <c r="C271" s="45"/>
      <c r="D271" s="8"/>
      <c r="E271" s="8"/>
      <c r="F271" s="8"/>
      <c r="G271" s="8"/>
      <c r="H271" s="8"/>
      <c r="I271" s="8"/>
      <c r="J271" s="15" t="e">
        <f t="shared" si="20"/>
        <v>#DIV/0!</v>
      </c>
      <c r="K271" s="8"/>
      <c r="L271" s="8"/>
      <c r="M271" s="15" t="e">
        <f t="shared" si="21"/>
        <v>#DIV/0!</v>
      </c>
      <c r="N271" s="8"/>
      <c r="O271" s="8"/>
      <c r="P271" s="15" t="e">
        <f t="shared" si="22"/>
        <v>#DIV/0!</v>
      </c>
      <c r="Q271" s="10"/>
      <c r="R271" s="201" t="e">
        <f t="shared" si="23"/>
        <v>#DIV/0!</v>
      </c>
      <c r="S271" s="202"/>
      <c r="T271" s="202"/>
      <c r="U271" s="338"/>
      <c r="V271" s="51" t="e">
        <f t="shared" si="24"/>
        <v>#DIV/0!</v>
      </c>
      <c r="W271" s="10"/>
      <c r="X271" s="10"/>
    </row>
    <row r="272" spans="1:24" ht="15.75" customHeight="1" x14ac:dyDescent="0.25">
      <c r="A272" s="6">
        <v>43</v>
      </c>
      <c r="B272" s="94"/>
      <c r="C272" s="45"/>
      <c r="D272" s="8"/>
      <c r="E272" s="8"/>
      <c r="F272" s="8"/>
      <c r="G272" s="8"/>
      <c r="H272" s="8"/>
      <c r="I272" s="8"/>
      <c r="J272" s="15" t="e">
        <f t="shared" si="20"/>
        <v>#DIV/0!</v>
      </c>
      <c r="K272" s="8"/>
      <c r="L272" s="8"/>
      <c r="M272" s="15" t="e">
        <f t="shared" si="21"/>
        <v>#DIV/0!</v>
      </c>
      <c r="N272" s="8"/>
      <c r="O272" s="8"/>
      <c r="P272" s="15" t="e">
        <f t="shared" si="22"/>
        <v>#DIV/0!</v>
      </c>
      <c r="Q272" s="10"/>
      <c r="R272" s="201" t="e">
        <f t="shared" si="23"/>
        <v>#DIV/0!</v>
      </c>
      <c r="S272" s="202"/>
      <c r="T272" s="202"/>
      <c r="U272" s="338"/>
      <c r="V272" s="51" t="e">
        <f t="shared" si="24"/>
        <v>#DIV/0!</v>
      </c>
      <c r="W272" s="10"/>
      <c r="X272" s="10"/>
    </row>
    <row r="273" spans="1:24" ht="15.75" customHeight="1" x14ac:dyDescent="0.25">
      <c r="A273" s="6">
        <v>44</v>
      </c>
      <c r="B273" s="94"/>
      <c r="C273" s="45"/>
      <c r="D273" s="8"/>
      <c r="E273" s="8"/>
      <c r="F273" s="8"/>
      <c r="G273" s="8"/>
      <c r="H273" s="8"/>
      <c r="I273" s="8"/>
      <c r="J273" s="15" t="e">
        <f t="shared" si="20"/>
        <v>#DIV/0!</v>
      </c>
      <c r="K273" s="8"/>
      <c r="L273" s="8"/>
      <c r="M273" s="15" t="e">
        <f t="shared" si="21"/>
        <v>#DIV/0!</v>
      </c>
      <c r="N273" s="8"/>
      <c r="O273" s="8"/>
      <c r="P273" s="15" t="e">
        <f t="shared" si="22"/>
        <v>#DIV/0!</v>
      </c>
      <c r="Q273" s="10"/>
      <c r="R273" s="201" t="e">
        <f t="shared" si="23"/>
        <v>#DIV/0!</v>
      </c>
      <c r="S273" s="202"/>
      <c r="T273" s="202"/>
      <c r="U273" s="338"/>
      <c r="V273" s="51" t="e">
        <f t="shared" si="24"/>
        <v>#DIV/0!</v>
      </c>
      <c r="W273" s="10"/>
      <c r="X273" s="10"/>
    </row>
    <row r="274" spans="1:24" ht="15.75" customHeight="1" x14ac:dyDescent="0.25">
      <c r="A274" s="6">
        <v>45</v>
      </c>
      <c r="B274" s="94"/>
      <c r="C274" s="45"/>
      <c r="D274" s="8"/>
      <c r="E274" s="8"/>
      <c r="F274" s="8"/>
      <c r="G274" s="8"/>
      <c r="H274" s="8"/>
      <c r="I274" s="8"/>
      <c r="J274" s="15" t="e">
        <f t="shared" si="20"/>
        <v>#DIV/0!</v>
      </c>
      <c r="K274" s="8"/>
      <c r="L274" s="8"/>
      <c r="M274" s="15" t="e">
        <f t="shared" si="21"/>
        <v>#DIV/0!</v>
      </c>
      <c r="N274" s="8"/>
      <c r="O274" s="8"/>
      <c r="P274" s="15" t="e">
        <f t="shared" si="22"/>
        <v>#DIV/0!</v>
      </c>
      <c r="Q274" s="10"/>
      <c r="R274" s="201" t="e">
        <f t="shared" si="23"/>
        <v>#DIV/0!</v>
      </c>
      <c r="S274" s="202"/>
      <c r="T274" s="202"/>
      <c r="U274" s="338"/>
      <c r="V274" s="51" t="e">
        <f t="shared" si="24"/>
        <v>#DIV/0!</v>
      </c>
      <c r="W274" s="10"/>
      <c r="X274" s="10"/>
    </row>
    <row r="275" spans="1:24" ht="15.75" customHeight="1" thickBot="1" x14ac:dyDescent="0.3">
      <c r="A275" s="16">
        <v>46</v>
      </c>
      <c r="B275" s="96"/>
      <c r="C275" s="46"/>
      <c r="D275" s="47"/>
      <c r="E275" s="47"/>
      <c r="F275" s="47"/>
      <c r="G275" s="47"/>
      <c r="H275" s="47"/>
      <c r="I275" s="47"/>
      <c r="J275" s="48" t="e">
        <f t="shared" si="20"/>
        <v>#DIV/0!</v>
      </c>
      <c r="K275" s="47"/>
      <c r="L275" s="47"/>
      <c r="M275" s="48" t="e">
        <f t="shared" si="21"/>
        <v>#DIV/0!</v>
      </c>
      <c r="N275" s="47"/>
      <c r="O275" s="47"/>
      <c r="P275" s="48" t="e">
        <f t="shared" si="22"/>
        <v>#DIV/0!</v>
      </c>
      <c r="Q275" s="49"/>
      <c r="R275" s="330" t="e">
        <f t="shared" si="23"/>
        <v>#DIV/0!</v>
      </c>
      <c r="S275" s="331"/>
      <c r="T275" s="331"/>
      <c r="U275" s="344"/>
      <c r="V275" s="52" t="e">
        <f t="shared" si="24"/>
        <v>#DIV/0!</v>
      </c>
      <c r="W275" s="10"/>
      <c r="X275" s="10"/>
    </row>
    <row r="276" spans="1:24" ht="15.75" customHeight="1" x14ac:dyDescent="0.25">
      <c r="A276" s="263"/>
      <c r="B276" s="301"/>
      <c r="C276" s="257"/>
      <c r="D276" s="345"/>
      <c r="E276" s="267"/>
      <c r="F276" s="270"/>
      <c r="G276" s="270"/>
      <c r="H276" s="270"/>
      <c r="I276" s="270"/>
      <c r="J276" s="272"/>
      <c r="K276" s="272"/>
      <c r="L276" s="257"/>
      <c r="M276" s="259"/>
      <c r="N276" s="259"/>
      <c r="O276" s="259"/>
      <c r="P276" s="259"/>
      <c r="Q276" s="261"/>
      <c r="R276" s="277"/>
      <c r="S276" s="278"/>
      <c r="T276" s="279"/>
      <c r="U276" s="283"/>
      <c r="V276" s="284"/>
      <c r="W276" s="255"/>
      <c r="X276" s="181"/>
    </row>
    <row r="277" spans="1:24" ht="15.75" customHeight="1" x14ac:dyDescent="0.25">
      <c r="A277" s="264"/>
      <c r="B277" s="302"/>
      <c r="C277" s="205"/>
      <c r="D277" s="346"/>
      <c r="E277" s="210"/>
      <c r="F277" s="211"/>
      <c r="G277" s="211"/>
      <c r="H277" s="211"/>
      <c r="I277" s="211"/>
      <c r="J277" s="204"/>
      <c r="K277" s="204"/>
      <c r="L277" s="205"/>
      <c r="M277" s="185"/>
      <c r="N277" s="185"/>
      <c r="O277" s="185"/>
      <c r="P277" s="185"/>
      <c r="Q277" s="187"/>
      <c r="R277" s="188"/>
      <c r="S277" s="189"/>
      <c r="T277" s="190"/>
      <c r="U277" s="194"/>
      <c r="V277" s="285"/>
      <c r="W277" s="255"/>
      <c r="X277" s="181"/>
    </row>
    <row r="278" spans="1:24" ht="15.75" customHeight="1" x14ac:dyDescent="0.25">
      <c r="A278" s="264"/>
      <c r="B278" s="303"/>
      <c r="C278" s="205"/>
      <c r="D278" s="346"/>
      <c r="E278" s="210"/>
      <c r="F278" s="211"/>
      <c r="G278" s="211"/>
      <c r="H278" s="211"/>
      <c r="I278" s="211"/>
      <c r="J278" s="204"/>
      <c r="K278" s="204"/>
      <c r="L278" s="205"/>
      <c r="M278" s="185"/>
      <c r="N278" s="185"/>
      <c r="O278" s="185"/>
      <c r="P278" s="185"/>
      <c r="Q278" s="187"/>
      <c r="R278" s="188"/>
      <c r="S278" s="189"/>
      <c r="T278" s="190"/>
      <c r="U278" s="194"/>
      <c r="V278" s="285"/>
      <c r="W278" s="255"/>
      <c r="X278" s="181"/>
    </row>
    <row r="279" spans="1:24" ht="15.75" customHeight="1" thickBot="1" x14ac:dyDescent="0.3">
      <c r="A279" s="265"/>
      <c r="B279" s="304"/>
      <c r="C279" s="258"/>
      <c r="D279" s="347"/>
      <c r="E279" s="268"/>
      <c r="F279" s="271"/>
      <c r="G279" s="271"/>
      <c r="H279" s="271"/>
      <c r="I279" s="271"/>
      <c r="J279" s="273"/>
      <c r="K279" s="273"/>
      <c r="L279" s="258"/>
      <c r="M279" s="260"/>
      <c r="N279" s="260"/>
      <c r="O279" s="260"/>
      <c r="P279" s="260"/>
      <c r="Q279" s="262"/>
      <c r="R279" s="280"/>
      <c r="S279" s="281"/>
      <c r="T279" s="282"/>
      <c r="U279" s="286"/>
      <c r="V279" s="287"/>
      <c r="W279" s="256"/>
      <c r="X279" s="182"/>
    </row>
    <row r="280" spans="1:24" ht="15.75" customHeight="1" x14ac:dyDescent="0.25"/>
    <row r="281" spans="1:24" ht="15.75" customHeight="1" x14ac:dyDescent="0.25"/>
    <row r="282" spans="1:24" ht="1.5" customHeight="1" thickBot="1" x14ac:dyDescent="0.3"/>
    <row r="283" spans="1:24" ht="59.25" customHeight="1" thickBot="1" x14ac:dyDescent="0.3">
      <c r="A283" s="290"/>
      <c r="B283" s="291"/>
      <c r="C283" s="291"/>
      <c r="D283" s="291"/>
      <c r="E283" s="291"/>
      <c r="F283" s="291"/>
      <c r="G283" s="291"/>
      <c r="H283" s="291"/>
      <c r="I283" s="291"/>
      <c r="J283" s="291"/>
      <c r="K283" s="291"/>
      <c r="L283" s="291"/>
      <c r="M283" s="291"/>
      <c r="N283" s="291"/>
      <c r="O283" s="291"/>
      <c r="P283" s="292"/>
      <c r="Q283" s="310"/>
      <c r="R283" s="228"/>
      <c r="S283" s="228"/>
      <c r="T283" s="228"/>
      <c r="U283" s="228"/>
      <c r="V283" s="228"/>
      <c r="W283" s="228"/>
      <c r="X283" s="229"/>
    </row>
    <row r="284" spans="1:24" ht="15.75" customHeight="1" thickBot="1" x14ac:dyDescent="0.3">
      <c r="A284" s="218" t="s">
        <v>930</v>
      </c>
      <c r="B284" s="219"/>
      <c r="C284" s="220" t="s">
        <v>19</v>
      </c>
      <c r="D284" s="221"/>
      <c r="E284" s="221"/>
      <c r="F284" s="221"/>
      <c r="G284" s="221"/>
      <c r="H284" s="221"/>
      <c r="I284" s="222"/>
      <c r="J284" s="223" t="s">
        <v>20</v>
      </c>
      <c r="K284" s="224"/>
      <c r="L284" s="224"/>
      <c r="M284" s="224"/>
      <c r="N284" s="225"/>
      <c r="O284" s="225"/>
      <c r="P284" s="225"/>
      <c r="Q284" s="226"/>
      <c r="R284" s="227" t="s">
        <v>791</v>
      </c>
      <c r="S284" s="228"/>
      <c r="T284" s="228"/>
      <c r="U284" s="228"/>
      <c r="V284" s="228"/>
      <c r="W284" s="228"/>
      <c r="X284" s="229"/>
    </row>
    <row r="285" spans="1:24" ht="15.75" customHeight="1" x14ac:dyDescent="0.25">
      <c r="A285" s="230" t="s">
        <v>0</v>
      </c>
      <c r="B285" s="293" t="s">
        <v>1</v>
      </c>
      <c r="C285" s="235" t="s">
        <v>12</v>
      </c>
      <c r="D285" s="235"/>
      <c r="E285" s="235"/>
      <c r="F285" s="235"/>
      <c r="G285" s="235"/>
      <c r="H285" s="235"/>
      <c r="I285" s="235"/>
      <c r="J285" s="235"/>
      <c r="K285" s="236" t="s">
        <v>13</v>
      </c>
      <c r="L285" s="237"/>
      <c r="M285" s="237"/>
      <c r="N285" s="240" t="s">
        <v>15</v>
      </c>
      <c r="O285" s="240"/>
      <c r="P285" s="240"/>
      <c r="Q285" s="241" t="s">
        <v>4</v>
      </c>
      <c r="R285" s="244" t="s">
        <v>11</v>
      </c>
      <c r="S285" s="244"/>
      <c r="T285" s="244"/>
      <c r="U285" s="244"/>
      <c r="V285" s="244"/>
      <c r="W285" s="246" t="s">
        <v>2</v>
      </c>
      <c r="X285" s="247"/>
    </row>
    <row r="286" spans="1:24" ht="15.75" customHeight="1" x14ac:dyDescent="0.25">
      <c r="A286" s="231"/>
      <c r="B286" s="294"/>
      <c r="C286" s="248" t="s">
        <v>6</v>
      </c>
      <c r="D286" s="248" t="s">
        <v>17</v>
      </c>
      <c r="E286" s="248" t="s">
        <v>5</v>
      </c>
      <c r="F286" s="250"/>
      <c r="G286" s="250"/>
      <c r="H286" s="250"/>
      <c r="I286" s="251" t="s">
        <v>16</v>
      </c>
      <c r="J286" s="253" t="s">
        <v>14</v>
      </c>
      <c r="K286" s="238"/>
      <c r="L286" s="239"/>
      <c r="M286" s="239"/>
      <c r="N286" s="240"/>
      <c r="O286" s="240"/>
      <c r="P286" s="240"/>
      <c r="Q286" s="242"/>
      <c r="R286" s="245"/>
      <c r="S286" s="245"/>
      <c r="T286" s="245"/>
      <c r="U286" s="245"/>
      <c r="V286" s="245"/>
      <c r="W286" s="187"/>
      <c r="X286" s="187"/>
    </row>
    <row r="287" spans="1:24" ht="33.75" customHeight="1" thickBot="1" x14ac:dyDescent="0.3">
      <c r="A287" s="232"/>
      <c r="B287" s="295"/>
      <c r="C287" s="248"/>
      <c r="D287" s="248"/>
      <c r="E287" s="248"/>
      <c r="F287" s="248"/>
      <c r="G287" s="248"/>
      <c r="H287" s="248"/>
      <c r="I287" s="328"/>
      <c r="J287" s="329"/>
      <c r="K287" s="27" t="s">
        <v>9</v>
      </c>
      <c r="L287" s="27" t="s">
        <v>10</v>
      </c>
      <c r="M287" s="55" t="s">
        <v>3</v>
      </c>
      <c r="N287" s="27" t="s">
        <v>9</v>
      </c>
      <c r="O287" s="27" t="s">
        <v>10</v>
      </c>
      <c r="P287" s="56" t="s">
        <v>3</v>
      </c>
      <c r="Q287" s="321"/>
      <c r="R287" s="322" t="s">
        <v>7</v>
      </c>
      <c r="S287" s="323"/>
      <c r="T287" s="323"/>
      <c r="U287" s="324"/>
      <c r="V287" s="23" t="s">
        <v>8</v>
      </c>
      <c r="W287" s="5">
        <v>1</v>
      </c>
      <c r="X287" s="5">
        <v>2</v>
      </c>
    </row>
    <row r="288" spans="1:24" ht="15.75" customHeight="1" x14ac:dyDescent="0.25">
      <c r="A288" s="6">
        <v>1</v>
      </c>
      <c r="B288" s="131" t="s">
        <v>900</v>
      </c>
      <c r="C288" s="44"/>
      <c r="D288" s="30"/>
      <c r="E288" s="30"/>
      <c r="F288" s="30"/>
      <c r="G288" s="30"/>
      <c r="H288" s="30"/>
      <c r="I288" s="30"/>
      <c r="J288" s="31" t="e">
        <f>((AVERAGE(C288:H288))*72%)+I288*8%</f>
        <v>#DIV/0!</v>
      </c>
      <c r="K288" s="30"/>
      <c r="L288" s="30"/>
      <c r="M288" s="31" t="e">
        <f>(AVERAGE(K288:L288))*10%</f>
        <v>#DIV/0!</v>
      </c>
      <c r="N288" s="30"/>
      <c r="O288" s="30"/>
      <c r="P288" s="31" t="e">
        <f>(AVERAGE(N288:O288))*10%</f>
        <v>#DIV/0!</v>
      </c>
      <c r="Q288" s="30"/>
      <c r="R288" s="325" t="e">
        <f>IF(V288&lt;65,"BAJO",IF(V288&lt;=79,"BASICO",IF(V288&lt;=89,"ALTO",IF(V288&lt;=100,"SUPERIOR"))))</f>
        <v>#DIV/0!</v>
      </c>
      <c r="S288" s="326"/>
      <c r="T288" s="326"/>
      <c r="U288" s="337"/>
      <c r="V288" s="51" t="e">
        <f>J288+M288+P288</f>
        <v>#DIV/0!</v>
      </c>
      <c r="W288" s="10"/>
      <c r="X288" s="10"/>
    </row>
    <row r="289" spans="1:24" ht="15.75" customHeight="1" x14ac:dyDescent="0.25">
      <c r="A289" s="6">
        <v>2</v>
      </c>
      <c r="B289" s="124" t="s">
        <v>317</v>
      </c>
      <c r="C289" s="45"/>
      <c r="D289" s="8"/>
      <c r="E289" s="8"/>
      <c r="F289" s="8"/>
      <c r="G289" s="8"/>
      <c r="H289" s="8"/>
      <c r="I289" s="9"/>
      <c r="J289" s="15" t="e">
        <f t="shared" ref="J289:J333" si="25">((AVERAGE(C289:H289))*72%)+I289*8%</f>
        <v>#DIV/0!</v>
      </c>
      <c r="K289" s="8"/>
      <c r="L289" s="8"/>
      <c r="M289" s="15" t="e">
        <f t="shared" ref="M289:M333" si="26">(AVERAGE(K289:L289))*10%</f>
        <v>#DIV/0!</v>
      </c>
      <c r="N289" s="8"/>
      <c r="O289" s="8"/>
      <c r="P289" s="15" t="e">
        <f t="shared" ref="P289:P333" si="27">(AVERAGE(N289:O289))*10%</f>
        <v>#DIV/0!</v>
      </c>
      <c r="Q289" s="11"/>
      <c r="R289" s="201" t="e">
        <f t="shared" ref="R289:R333" si="28">IF(V289&lt;65,"BAJO",IF(V289&lt;=79,"BASICO",IF(V289&lt;=89,"ALTO",IF(V289&lt;=100,"SUPERIOR"))))</f>
        <v>#DIV/0!</v>
      </c>
      <c r="S289" s="202"/>
      <c r="T289" s="202"/>
      <c r="U289" s="338"/>
      <c r="V289" s="51" t="e">
        <f t="shared" ref="V289:V333" si="29">J289+M289+P289</f>
        <v>#DIV/0!</v>
      </c>
      <c r="W289" s="10"/>
      <c r="X289" s="10"/>
    </row>
    <row r="290" spans="1:24" ht="15.75" customHeight="1" x14ac:dyDescent="0.25">
      <c r="A290" s="6">
        <v>3</v>
      </c>
      <c r="B290" s="70" t="s">
        <v>390</v>
      </c>
      <c r="C290" s="45"/>
      <c r="D290" s="8"/>
      <c r="E290" s="8"/>
      <c r="F290" s="8"/>
      <c r="G290" s="8"/>
      <c r="H290" s="8"/>
      <c r="I290" s="9"/>
      <c r="J290" s="15" t="e">
        <f t="shared" si="25"/>
        <v>#DIV/0!</v>
      </c>
      <c r="K290" s="8"/>
      <c r="L290" s="8"/>
      <c r="M290" s="15" t="e">
        <f t="shared" si="26"/>
        <v>#DIV/0!</v>
      </c>
      <c r="N290" s="8"/>
      <c r="O290" s="8"/>
      <c r="P290" s="15" t="e">
        <f t="shared" si="27"/>
        <v>#DIV/0!</v>
      </c>
      <c r="Q290" s="11"/>
      <c r="R290" s="201" t="e">
        <f t="shared" si="28"/>
        <v>#DIV/0!</v>
      </c>
      <c r="S290" s="202"/>
      <c r="T290" s="202"/>
      <c r="U290" s="338"/>
      <c r="V290" s="51" t="e">
        <f t="shared" si="29"/>
        <v>#DIV/0!</v>
      </c>
      <c r="W290" s="10"/>
      <c r="X290" s="10"/>
    </row>
    <row r="291" spans="1:24" ht="15.75" customHeight="1" x14ac:dyDescent="0.25">
      <c r="A291" s="6">
        <v>4</v>
      </c>
      <c r="B291" s="70" t="s">
        <v>305</v>
      </c>
      <c r="C291" s="45"/>
      <c r="D291" s="8"/>
      <c r="E291" s="8"/>
      <c r="F291" s="8"/>
      <c r="G291" s="8"/>
      <c r="H291" s="8"/>
      <c r="I291" s="8"/>
      <c r="J291" s="15" t="e">
        <f t="shared" si="25"/>
        <v>#DIV/0!</v>
      </c>
      <c r="K291" s="8"/>
      <c r="L291" s="8"/>
      <c r="M291" s="15" t="e">
        <f t="shared" si="26"/>
        <v>#DIV/0!</v>
      </c>
      <c r="N291" s="8"/>
      <c r="O291" s="8"/>
      <c r="P291" s="15" t="e">
        <f t="shared" si="27"/>
        <v>#DIV/0!</v>
      </c>
      <c r="Q291" s="11"/>
      <c r="R291" s="201" t="e">
        <f t="shared" si="28"/>
        <v>#DIV/0!</v>
      </c>
      <c r="S291" s="202"/>
      <c r="T291" s="202"/>
      <c r="U291" s="338"/>
      <c r="V291" s="51" t="e">
        <f t="shared" si="29"/>
        <v>#DIV/0!</v>
      </c>
      <c r="W291" s="10"/>
      <c r="X291" s="10"/>
    </row>
    <row r="292" spans="1:24" ht="15.75" customHeight="1" x14ac:dyDescent="0.25">
      <c r="A292" s="6">
        <v>5</v>
      </c>
      <c r="B292" s="124" t="s">
        <v>295</v>
      </c>
      <c r="C292" s="45"/>
      <c r="D292" s="8"/>
      <c r="E292" s="8"/>
      <c r="F292" s="8"/>
      <c r="G292" s="8"/>
      <c r="H292" s="8"/>
      <c r="I292" s="8"/>
      <c r="J292" s="15" t="e">
        <f t="shared" si="25"/>
        <v>#DIV/0!</v>
      </c>
      <c r="K292" s="8"/>
      <c r="L292" s="8"/>
      <c r="M292" s="15" t="e">
        <f t="shared" si="26"/>
        <v>#DIV/0!</v>
      </c>
      <c r="N292" s="8"/>
      <c r="O292" s="8"/>
      <c r="P292" s="15" t="e">
        <f t="shared" si="27"/>
        <v>#DIV/0!</v>
      </c>
      <c r="Q292" s="10"/>
      <c r="R292" s="201" t="e">
        <f t="shared" si="28"/>
        <v>#DIV/0!</v>
      </c>
      <c r="S292" s="202"/>
      <c r="T292" s="202"/>
      <c r="U292" s="338"/>
      <c r="V292" s="51" t="e">
        <f t="shared" si="29"/>
        <v>#DIV/0!</v>
      </c>
      <c r="W292" s="10"/>
      <c r="X292" s="10"/>
    </row>
    <row r="293" spans="1:24" ht="15.75" customHeight="1" x14ac:dyDescent="0.25">
      <c r="A293" s="6">
        <v>6</v>
      </c>
      <c r="B293" s="125" t="s">
        <v>156</v>
      </c>
      <c r="C293" s="45"/>
      <c r="D293" s="8"/>
      <c r="E293" s="8"/>
      <c r="F293" s="8"/>
      <c r="G293" s="8"/>
      <c r="H293" s="8"/>
      <c r="I293" s="8"/>
      <c r="J293" s="15" t="e">
        <f t="shared" si="25"/>
        <v>#DIV/0!</v>
      </c>
      <c r="K293" s="8"/>
      <c r="L293" s="8"/>
      <c r="M293" s="15" t="e">
        <f t="shared" si="26"/>
        <v>#DIV/0!</v>
      </c>
      <c r="N293" s="8"/>
      <c r="O293" s="8"/>
      <c r="P293" s="15" t="e">
        <f t="shared" si="27"/>
        <v>#DIV/0!</v>
      </c>
      <c r="Q293" s="10"/>
      <c r="R293" s="201" t="e">
        <f t="shared" si="28"/>
        <v>#DIV/0!</v>
      </c>
      <c r="S293" s="202"/>
      <c r="T293" s="202"/>
      <c r="U293" s="338"/>
      <c r="V293" s="51" t="e">
        <f t="shared" si="29"/>
        <v>#DIV/0!</v>
      </c>
      <c r="W293" s="10"/>
      <c r="X293" s="10"/>
    </row>
    <row r="294" spans="1:24" ht="15.75" customHeight="1" x14ac:dyDescent="0.25">
      <c r="A294" s="6">
        <v>7</v>
      </c>
      <c r="B294" s="70" t="s">
        <v>191</v>
      </c>
      <c r="C294" s="45"/>
      <c r="D294" s="8"/>
      <c r="E294" s="8"/>
      <c r="F294" s="8"/>
      <c r="G294" s="8"/>
      <c r="H294" s="8"/>
      <c r="I294" s="8"/>
      <c r="J294" s="15" t="e">
        <f t="shared" si="25"/>
        <v>#DIV/0!</v>
      </c>
      <c r="K294" s="8"/>
      <c r="L294" s="8"/>
      <c r="M294" s="15" t="e">
        <f t="shared" si="26"/>
        <v>#DIV/0!</v>
      </c>
      <c r="N294" s="8"/>
      <c r="O294" s="8"/>
      <c r="P294" s="15" t="e">
        <f t="shared" si="27"/>
        <v>#DIV/0!</v>
      </c>
      <c r="Q294" s="10"/>
      <c r="R294" s="201" t="e">
        <f t="shared" si="28"/>
        <v>#DIV/0!</v>
      </c>
      <c r="S294" s="202"/>
      <c r="T294" s="202"/>
      <c r="U294" s="338"/>
      <c r="V294" s="51" t="e">
        <f t="shared" si="29"/>
        <v>#DIV/0!</v>
      </c>
      <c r="W294" s="10"/>
      <c r="X294" s="10"/>
    </row>
    <row r="295" spans="1:24" ht="15.75" customHeight="1" x14ac:dyDescent="0.25">
      <c r="A295" s="6">
        <v>8</v>
      </c>
      <c r="B295" s="124" t="s">
        <v>775</v>
      </c>
      <c r="C295" s="45"/>
      <c r="D295" s="8"/>
      <c r="E295" s="8"/>
      <c r="F295" s="8"/>
      <c r="G295" s="8"/>
      <c r="H295" s="8"/>
      <c r="I295" s="8"/>
      <c r="J295" s="15" t="e">
        <f t="shared" si="25"/>
        <v>#DIV/0!</v>
      </c>
      <c r="K295" s="8"/>
      <c r="L295" s="8"/>
      <c r="M295" s="15" t="e">
        <f t="shared" si="26"/>
        <v>#DIV/0!</v>
      </c>
      <c r="N295" s="8"/>
      <c r="O295" s="8"/>
      <c r="P295" s="15" t="e">
        <f t="shared" si="27"/>
        <v>#DIV/0!</v>
      </c>
      <c r="Q295" s="10"/>
      <c r="R295" s="201" t="e">
        <f t="shared" si="28"/>
        <v>#DIV/0!</v>
      </c>
      <c r="S295" s="202"/>
      <c r="T295" s="202"/>
      <c r="U295" s="338"/>
      <c r="V295" s="51" t="e">
        <f t="shared" si="29"/>
        <v>#DIV/0!</v>
      </c>
      <c r="W295" s="10"/>
      <c r="X295" s="10"/>
    </row>
    <row r="296" spans="1:24" ht="15.75" customHeight="1" x14ac:dyDescent="0.25">
      <c r="A296" s="6">
        <v>9</v>
      </c>
      <c r="B296" s="125" t="s">
        <v>901</v>
      </c>
      <c r="C296" s="45"/>
      <c r="D296" s="8"/>
      <c r="E296" s="8"/>
      <c r="F296" s="8"/>
      <c r="G296" s="8"/>
      <c r="H296" s="8"/>
      <c r="I296" s="8"/>
      <c r="J296" s="15" t="e">
        <f t="shared" si="25"/>
        <v>#DIV/0!</v>
      </c>
      <c r="K296" s="8"/>
      <c r="L296" s="8"/>
      <c r="M296" s="15" t="e">
        <f t="shared" si="26"/>
        <v>#DIV/0!</v>
      </c>
      <c r="N296" s="8"/>
      <c r="O296" s="8"/>
      <c r="P296" s="15" t="e">
        <f t="shared" si="27"/>
        <v>#DIV/0!</v>
      </c>
      <c r="Q296" s="10"/>
      <c r="R296" s="201" t="e">
        <f t="shared" si="28"/>
        <v>#DIV/0!</v>
      </c>
      <c r="S296" s="202"/>
      <c r="T296" s="202"/>
      <c r="U296" s="338"/>
      <c r="V296" s="51" t="e">
        <f t="shared" si="29"/>
        <v>#DIV/0!</v>
      </c>
      <c r="W296" s="10"/>
      <c r="X296" s="10"/>
    </row>
    <row r="297" spans="1:24" ht="15.75" customHeight="1" x14ac:dyDescent="0.25">
      <c r="A297" s="6">
        <v>10</v>
      </c>
      <c r="B297" s="125" t="s">
        <v>786</v>
      </c>
      <c r="C297" s="45"/>
      <c r="D297" s="8"/>
      <c r="E297" s="8"/>
      <c r="F297" s="8"/>
      <c r="G297" s="8"/>
      <c r="H297" s="8"/>
      <c r="I297" s="8"/>
      <c r="J297" s="15" t="e">
        <f t="shared" si="25"/>
        <v>#DIV/0!</v>
      </c>
      <c r="K297" s="8"/>
      <c r="L297" s="8"/>
      <c r="M297" s="15" t="e">
        <f t="shared" si="26"/>
        <v>#DIV/0!</v>
      </c>
      <c r="N297" s="8"/>
      <c r="O297" s="8"/>
      <c r="P297" s="15" t="e">
        <f t="shared" si="27"/>
        <v>#DIV/0!</v>
      </c>
      <c r="Q297" s="10"/>
      <c r="R297" s="201" t="e">
        <f t="shared" si="28"/>
        <v>#DIV/0!</v>
      </c>
      <c r="S297" s="202"/>
      <c r="T297" s="202"/>
      <c r="U297" s="338"/>
      <c r="V297" s="51" t="e">
        <f t="shared" si="29"/>
        <v>#DIV/0!</v>
      </c>
      <c r="W297" s="10"/>
      <c r="X297" s="10"/>
    </row>
    <row r="298" spans="1:24" ht="15.75" customHeight="1" x14ac:dyDescent="0.25">
      <c r="A298" s="6">
        <v>11</v>
      </c>
      <c r="B298" s="70" t="s">
        <v>171</v>
      </c>
      <c r="C298" s="45"/>
      <c r="D298" s="8"/>
      <c r="E298" s="8"/>
      <c r="F298" s="8"/>
      <c r="G298" s="8"/>
      <c r="H298" s="8"/>
      <c r="I298" s="8"/>
      <c r="J298" s="15" t="e">
        <f t="shared" si="25"/>
        <v>#DIV/0!</v>
      </c>
      <c r="K298" s="8"/>
      <c r="L298" s="8"/>
      <c r="M298" s="15" t="e">
        <f t="shared" si="26"/>
        <v>#DIV/0!</v>
      </c>
      <c r="N298" s="8"/>
      <c r="O298" s="8"/>
      <c r="P298" s="15" t="e">
        <f t="shared" si="27"/>
        <v>#DIV/0!</v>
      </c>
      <c r="Q298" s="10"/>
      <c r="R298" s="201" t="e">
        <f t="shared" si="28"/>
        <v>#DIV/0!</v>
      </c>
      <c r="S298" s="202"/>
      <c r="T298" s="202"/>
      <c r="U298" s="338"/>
      <c r="V298" s="51" t="e">
        <f t="shared" si="29"/>
        <v>#DIV/0!</v>
      </c>
      <c r="W298" s="10"/>
      <c r="X298" s="10"/>
    </row>
    <row r="299" spans="1:24" ht="15.75" customHeight="1" x14ac:dyDescent="0.25">
      <c r="A299" s="6">
        <v>12</v>
      </c>
      <c r="B299" s="125" t="s">
        <v>787</v>
      </c>
      <c r="C299" s="45"/>
      <c r="D299" s="8"/>
      <c r="E299" s="8"/>
      <c r="F299" s="8"/>
      <c r="G299" s="8"/>
      <c r="H299" s="8"/>
      <c r="I299" s="8"/>
      <c r="J299" s="15" t="e">
        <f t="shared" si="25"/>
        <v>#DIV/0!</v>
      </c>
      <c r="K299" s="8"/>
      <c r="L299" s="8"/>
      <c r="M299" s="15" t="e">
        <f t="shared" si="26"/>
        <v>#DIV/0!</v>
      </c>
      <c r="N299" s="8"/>
      <c r="O299" s="8"/>
      <c r="P299" s="15" t="e">
        <f t="shared" si="27"/>
        <v>#DIV/0!</v>
      </c>
      <c r="Q299" s="10"/>
      <c r="R299" s="201" t="e">
        <f t="shared" si="28"/>
        <v>#DIV/0!</v>
      </c>
      <c r="S299" s="202"/>
      <c r="T299" s="202"/>
      <c r="U299" s="338"/>
      <c r="V299" s="51" t="e">
        <f t="shared" si="29"/>
        <v>#DIV/0!</v>
      </c>
      <c r="W299" s="10"/>
      <c r="X299" s="10"/>
    </row>
    <row r="300" spans="1:24" ht="15.75" customHeight="1" x14ac:dyDescent="0.25">
      <c r="A300" s="6">
        <v>13</v>
      </c>
      <c r="B300" s="70" t="s">
        <v>396</v>
      </c>
      <c r="C300" s="45"/>
      <c r="D300" s="8"/>
      <c r="E300" s="8"/>
      <c r="F300" s="8"/>
      <c r="G300" s="8"/>
      <c r="H300" s="8"/>
      <c r="I300" s="8"/>
      <c r="J300" s="15" t="e">
        <f t="shared" si="25"/>
        <v>#DIV/0!</v>
      </c>
      <c r="K300" s="8"/>
      <c r="L300" s="8"/>
      <c r="M300" s="15" t="e">
        <f t="shared" si="26"/>
        <v>#DIV/0!</v>
      </c>
      <c r="N300" s="8"/>
      <c r="O300" s="8"/>
      <c r="P300" s="15" t="e">
        <f t="shared" si="27"/>
        <v>#DIV/0!</v>
      </c>
      <c r="Q300" s="10"/>
      <c r="R300" s="201" t="e">
        <f t="shared" si="28"/>
        <v>#DIV/0!</v>
      </c>
      <c r="S300" s="202"/>
      <c r="T300" s="202"/>
      <c r="U300" s="338"/>
      <c r="V300" s="51" t="e">
        <f t="shared" si="29"/>
        <v>#DIV/0!</v>
      </c>
      <c r="W300" s="10"/>
      <c r="X300" s="10"/>
    </row>
    <row r="301" spans="1:24" ht="15.75" customHeight="1" x14ac:dyDescent="0.25">
      <c r="A301" s="6">
        <v>14</v>
      </c>
      <c r="B301" s="125" t="s">
        <v>788</v>
      </c>
      <c r="C301" s="45"/>
      <c r="D301" s="8"/>
      <c r="E301" s="8"/>
      <c r="F301" s="8"/>
      <c r="G301" s="8"/>
      <c r="H301" s="8"/>
      <c r="I301" s="8"/>
      <c r="J301" s="15" t="e">
        <f t="shared" si="25"/>
        <v>#DIV/0!</v>
      </c>
      <c r="K301" s="8"/>
      <c r="L301" s="8"/>
      <c r="M301" s="15" t="e">
        <f t="shared" si="26"/>
        <v>#DIV/0!</v>
      </c>
      <c r="N301" s="8"/>
      <c r="O301" s="8"/>
      <c r="P301" s="15" t="e">
        <f t="shared" si="27"/>
        <v>#DIV/0!</v>
      </c>
      <c r="Q301" s="10"/>
      <c r="R301" s="201" t="e">
        <f t="shared" si="28"/>
        <v>#DIV/0!</v>
      </c>
      <c r="S301" s="202"/>
      <c r="T301" s="202"/>
      <c r="U301" s="338"/>
      <c r="V301" s="51" t="e">
        <f t="shared" si="29"/>
        <v>#DIV/0!</v>
      </c>
      <c r="W301" s="10"/>
      <c r="X301" s="10"/>
    </row>
    <row r="302" spans="1:24" ht="15.75" customHeight="1" x14ac:dyDescent="0.25">
      <c r="A302" s="6">
        <v>15</v>
      </c>
      <c r="B302" s="116" t="s">
        <v>309</v>
      </c>
      <c r="C302" s="45"/>
      <c r="D302" s="8"/>
      <c r="E302" s="8"/>
      <c r="F302" s="8"/>
      <c r="G302" s="8"/>
      <c r="H302" s="8"/>
      <c r="I302" s="8"/>
      <c r="J302" s="15" t="e">
        <f t="shared" si="25"/>
        <v>#DIV/0!</v>
      </c>
      <c r="K302" s="8"/>
      <c r="L302" s="8"/>
      <c r="M302" s="15" t="e">
        <f t="shared" si="26"/>
        <v>#DIV/0!</v>
      </c>
      <c r="N302" s="8"/>
      <c r="O302" s="8"/>
      <c r="P302" s="15" t="e">
        <f t="shared" si="27"/>
        <v>#DIV/0!</v>
      </c>
      <c r="Q302" s="10"/>
      <c r="R302" s="201" t="e">
        <f t="shared" si="28"/>
        <v>#DIV/0!</v>
      </c>
      <c r="S302" s="202"/>
      <c r="T302" s="202"/>
      <c r="U302" s="338"/>
      <c r="V302" s="51" t="e">
        <f t="shared" si="29"/>
        <v>#DIV/0!</v>
      </c>
      <c r="W302" s="10"/>
      <c r="X302" s="10"/>
    </row>
    <row r="303" spans="1:24" ht="15.75" customHeight="1" x14ac:dyDescent="0.25">
      <c r="A303" s="6">
        <v>16</v>
      </c>
      <c r="B303" s="125" t="s">
        <v>902</v>
      </c>
      <c r="C303" s="45"/>
      <c r="D303" s="8"/>
      <c r="E303" s="8"/>
      <c r="F303" s="8"/>
      <c r="G303" s="8"/>
      <c r="H303" s="8"/>
      <c r="I303" s="8"/>
      <c r="J303" s="15" t="e">
        <f t="shared" si="25"/>
        <v>#DIV/0!</v>
      </c>
      <c r="K303" s="8"/>
      <c r="L303" s="8"/>
      <c r="M303" s="15" t="e">
        <f t="shared" si="26"/>
        <v>#DIV/0!</v>
      </c>
      <c r="N303" s="8"/>
      <c r="O303" s="8"/>
      <c r="P303" s="15" t="e">
        <f t="shared" si="27"/>
        <v>#DIV/0!</v>
      </c>
      <c r="Q303" s="10"/>
      <c r="R303" s="201" t="e">
        <f t="shared" si="28"/>
        <v>#DIV/0!</v>
      </c>
      <c r="S303" s="202"/>
      <c r="T303" s="202"/>
      <c r="U303" s="338"/>
      <c r="V303" s="51" t="e">
        <f t="shared" si="29"/>
        <v>#DIV/0!</v>
      </c>
      <c r="W303" s="10"/>
      <c r="X303" s="10"/>
    </row>
    <row r="304" spans="1:24" ht="15.75" customHeight="1" x14ac:dyDescent="0.25">
      <c r="A304" s="6">
        <v>17</v>
      </c>
      <c r="B304" s="129" t="s">
        <v>922</v>
      </c>
      <c r="C304" s="45"/>
      <c r="D304" s="8"/>
      <c r="E304" s="8"/>
      <c r="F304" s="8"/>
      <c r="G304" s="8"/>
      <c r="H304" s="8"/>
      <c r="I304" s="13"/>
      <c r="J304" s="15" t="e">
        <f t="shared" si="25"/>
        <v>#DIV/0!</v>
      </c>
      <c r="K304" s="8"/>
      <c r="L304" s="8"/>
      <c r="M304" s="15" t="e">
        <f t="shared" si="26"/>
        <v>#DIV/0!</v>
      </c>
      <c r="N304" s="8"/>
      <c r="O304" s="8"/>
      <c r="P304" s="15" t="e">
        <f t="shared" si="27"/>
        <v>#DIV/0!</v>
      </c>
      <c r="Q304" s="10"/>
      <c r="R304" s="201" t="e">
        <f t="shared" si="28"/>
        <v>#DIV/0!</v>
      </c>
      <c r="S304" s="202"/>
      <c r="T304" s="202"/>
      <c r="U304" s="338"/>
      <c r="V304" s="51" t="e">
        <f t="shared" si="29"/>
        <v>#DIV/0!</v>
      </c>
      <c r="W304" s="10"/>
      <c r="X304" s="10"/>
    </row>
    <row r="305" spans="1:24" ht="15.75" customHeight="1" x14ac:dyDescent="0.25">
      <c r="A305" s="6">
        <v>18</v>
      </c>
      <c r="B305" s="125" t="s">
        <v>907</v>
      </c>
      <c r="C305" s="45"/>
      <c r="D305" s="8"/>
      <c r="E305" s="8"/>
      <c r="F305" s="8"/>
      <c r="G305" s="8"/>
      <c r="H305" s="8"/>
      <c r="I305" s="8"/>
      <c r="J305" s="15" t="e">
        <f t="shared" si="25"/>
        <v>#DIV/0!</v>
      </c>
      <c r="K305" s="8"/>
      <c r="L305" s="8"/>
      <c r="M305" s="15" t="e">
        <f t="shared" si="26"/>
        <v>#DIV/0!</v>
      </c>
      <c r="N305" s="8"/>
      <c r="O305" s="8"/>
      <c r="P305" s="15" t="e">
        <f t="shared" si="27"/>
        <v>#DIV/0!</v>
      </c>
      <c r="Q305" s="10"/>
      <c r="R305" s="201" t="e">
        <f t="shared" si="28"/>
        <v>#DIV/0!</v>
      </c>
      <c r="S305" s="202"/>
      <c r="T305" s="202"/>
      <c r="U305" s="338"/>
      <c r="V305" s="51" t="e">
        <f t="shared" si="29"/>
        <v>#DIV/0!</v>
      </c>
      <c r="W305" s="10"/>
      <c r="X305" s="10"/>
    </row>
    <row r="306" spans="1:24" ht="15.75" customHeight="1" x14ac:dyDescent="0.25">
      <c r="A306" s="6">
        <v>19</v>
      </c>
      <c r="B306" s="70" t="s">
        <v>354</v>
      </c>
      <c r="C306" s="45"/>
      <c r="D306" s="8"/>
      <c r="E306" s="8"/>
      <c r="F306" s="8"/>
      <c r="G306" s="8"/>
      <c r="H306" s="8"/>
      <c r="I306" s="8"/>
      <c r="J306" s="15" t="e">
        <f t="shared" si="25"/>
        <v>#DIV/0!</v>
      </c>
      <c r="K306" s="8"/>
      <c r="L306" s="8"/>
      <c r="M306" s="15" t="e">
        <f t="shared" si="26"/>
        <v>#DIV/0!</v>
      </c>
      <c r="N306" s="8"/>
      <c r="O306" s="8"/>
      <c r="P306" s="15" t="e">
        <f t="shared" si="27"/>
        <v>#DIV/0!</v>
      </c>
      <c r="Q306" s="10"/>
      <c r="R306" s="201" t="e">
        <f t="shared" si="28"/>
        <v>#DIV/0!</v>
      </c>
      <c r="S306" s="202"/>
      <c r="T306" s="202"/>
      <c r="U306" s="338"/>
      <c r="V306" s="51" t="e">
        <f t="shared" si="29"/>
        <v>#DIV/0!</v>
      </c>
      <c r="W306" s="10"/>
      <c r="X306" s="10"/>
    </row>
    <row r="307" spans="1:24" ht="15.75" customHeight="1" x14ac:dyDescent="0.25">
      <c r="A307" s="6">
        <v>20</v>
      </c>
      <c r="B307" s="125" t="s">
        <v>236</v>
      </c>
      <c r="C307" s="45"/>
      <c r="D307" s="8"/>
      <c r="E307" s="8"/>
      <c r="F307" s="8"/>
      <c r="G307" s="8"/>
      <c r="H307" s="8"/>
      <c r="I307" s="8"/>
      <c r="J307" s="15" t="e">
        <f t="shared" si="25"/>
        <v>#DIV/0!</v>
      </c>
      <c r="K307" s="8"/>
      <c r="L307" s="8"/>
      <c r="M307" s="15" t="e">
        <f t="shared" si="26"/>
        <v>#DIV/0!</v>
      </c>
      <c r="N307" s="8"/>
      <c r="O307" s="8"/>
      <c r="P307" s="15" t="e">
        <f t="shared" si="27"/>
        <v>#DIV/0!</v>
      </c>
      <c r="Q307" s="10"/>
      <c r="R307" s="201" t="e">
        <f t="shared" si="28"/>
        <v>#DIV/0!</v>
      </c>
      <c r="S307" s="202"/>
      <c r="T307" s="202"/>
      <c r="U307" s="338"/>
      <c r="V307" s="51" t="e">
        <f t="shared" si="29"/>
        <v>#DIV/0!</v>
      </c>
      <c r="W307" s="10"/>
      <c r="X307" s="10"/>
    </row>
    <row r="308" spans="1:24" ht="15.75" customHeight="1" x14ac:dyDescent="0.25">
      <c r="A308" s="6">
        <v>21</v>
      </c>
      <c r="B308" s="128" t="s">
        <v>903</v>
      </c>
      <c r="C308" s="45"/>
      <c r="D308" s="8"/>
      <c r="E308" s="8"/>
      <c r="F308" s="8"/>
      <c r="G308" s="8"/>
      <c r="H308" s="8"/>
      <c r="I308" s="8"/>
      <c r="J308" s="15" t="e">
        <f t="shared" si="25"/>
        <v>#DIV/0!</v>
      </c>
      <c r="K308" s="8"/>
      <c r="L308" s="8"/>
      <c r="M308" s="15" t="e">
        <f t="shared" si="26"/>
        <v>#DIV/0!</v>
      </c>
      <c r="N308" s="8"/>
      <c r="O308" s="8"/>
      <c r="P308" s="15" t="e">
        <f t="shared" si="27"/>
        <v>#DIV/0!</v>
      </c>
      <c r="Q308" s="10"/>
      <c r="R308" s="201" t="e">
        <f t="shared" si="28"/>
        <v>#DIV/0!</v>
      </c>
      <c r="S308" s="202"/>
      <c r="T308" s="202"/>
      <c r="U308" s="338"/>
      <c r="V308" s="51" t="e">
        <f t="shared" si="29"/>
        <v>#DIV/0!</v>
      </c>
      <c r="W308" s="10"/>
      <c r="X308" s="10"/>
    </row>
    <row r="309" spans="1:24" ht="15.75" customHeight="1" x14ac:dyDescent="0.25">
      <c r="A309" s="6">
        <v>22</v>
      </c>
      <c r="B309" s="125" t="s">
        <v>327</v>
      </c>
      <c r="C309" s="45"/>
      <c r="D309" s="8"/>
      <c r="E309" s="8"/>
      <c r="F309" s="8"/>
      <c r="G309" s="8"/>
      <c r="H309" s="8"/>
      <c r="I309" s="8"/>
      <c r="J309" s="15" t="e">
        <f t="shared" si="25"/>
        <v>#DIV/0!</v>
      </c>
      <c r="K309" s="8"/>
      <c r="L309" s="8"/>
      <c r="M309" s="15" t="e">
        <f t="shared" si="26"/>
        <v>#DIV/0!</v>
      </c>
      <c r="N309" s="8"/>
      <c r="O309" s="8"/>
      <c r="P309" s="15" t="e">
        <f t="shared" si="27"/>
        <v>#DIV/0!</v>
      </c>
      <c r="Q309" s="10"/>
      <c r="R309" s="201" t="e">
        <f t="shared" si="28"/>
        <v>#DIV/0!</v>
      </c>
      <c r="S309" s="202"/>
      <c r="T309" s="202"/>
      <c r="U309" s="338"/>
      <c r="V309" s="51" t="e">
        <f t="shared" si="29"/>
        <v>#DIV/0!</v>
      </c>
      <c r="W309" s="10"/>
      <c r="X309" s="10"/>
    </row>
    <row r="310" spans="1:24" ht="15.75" customHeight="1" x14ac:dyDescent="0.25">
      <c r="A310" s="6">
        <v>23</v>
      </c>
      <c r="B310" s="125" t="s">
        <v>790</v>
      </c>
      <c r="C310" s="45"/>
      <c r="D310" s="8"/>
      <c r="E310" s="8"/>
      <c r="F310" s="8"/>
      <c r="G310" s="8"/>
      <c r="H310" s="8"/>
      <c r="I310" s="8"/>
      <c r="J310" s="15" t="e">
        <f t="shared" si="25"/>
        <v>#DIV/0!</v>
      </c>
      <c r="K310" s="8"/>
      <c r="L310" s="8"/>
      <c r="M310" s="15" t="e">
        <f t="shared" si="26"/>
        <v>#DIV/0!</v>
      </c>
      <c r="N310" s="8"/>
      <c r="O310" s="8"/>
      <c r="P310" s="15" t="e">
        <f t="shared" si="27"/>
        <v>#DIV/0!</v>
      </c>
      <c r="Q310" s="10"/>
      <c r="R310" s="201" t="e">
        <f t="shared" si="28"/>
        <v>#DIV/0!</v>
      </c>
      <c r="S310" s="202"/>
      <c r="T310" s="202"/>
      <c r="U310" s="338"/>
      <c r="V310" s="51" t="e">
        <f t="shared" si="29"/>
        <v>#DIV/0!</v>
      </c>
      <c r="W310" s="10"/>
      <c r="X310" s="10"/>
    </row>
    <row r="311" spans="1:24" ht="15.75" customHeight="1" x14ac:dyDescent="0.25">
      <c r="A311" s="6">
        <v>24</v>
      </c>
      <c r="B311" s="125" t="s">
        <v>254</v>
      </c>
      <c r="C311" s="45"/>
      <c r="D311" s="8"/>
      <c r="E311" s="8"/>
      <c r="F311" s="8"/>
      <c r="G311" s="8"/>
      <c r="H311" s="8"/>
      <c r="I311" s="8"/>
      <c r="J311" s="15" t="e">
        <f t="shared" si="25"/>
        <v>#DIV/0!</v>
      </c>
      <c r="K311" s="8"/>
      <c r="L311" s="8"/>
      <c r="M311" s="15" t="e">
        <f t="shared" si="26"/>
        <v>#DIV/0!</v>
      </c>
      <c r="N311" s="8"/>
      <c r="O311" s="8"/>
      <c r="P311" s="15" t="e">
        <f t="shared" si="27"/>
        <v>#DIV/0!</v>
      </c>
      <c r="Q311" s="10"/>
      <c r="R311" s="201" t="e">
        <f t="shared" si="28"/>
        <v>#DIV/0!</v>
      </c>
      <c r="S311" s="202"/>
      <c r="T311" s="202"/>
      <c r="U311" s="338"/>
      <c r="V311" s="51" t="e">
        <f t="shared" si="29"/>
        <v>#DIV/0!</v>
      </c>
      <c r="W311" s="10"/>
      <c r="X311" s="10"/>
    </row>
    <row r="312" spans="1:24" ht="15.75" customHeight="1" x14ac:dyDescent="0.25">
      <c r="A312" s="6">
        <v>25</v>
      </c>
      <c r="B312" s="116" t="s">
        <v>769</v>
      </c>
      <c r="C312" s="45"/>
      <c r="D312" s="8"/>
      <c r="E312" s="8"/>
      <c r="F312" s="8"/>
      <c r="G312" s="8"/>
      <c r="H312" s="8"/>
      <c r="I312" s="8"/>
      <c r="J312" s="15" t="e">
        <f t="shared" si="25"/>
        <v>#DIV/0!</v>
      </c>
      <c r="K312" s="8"/>
      <c r="L312" s="8"/>
      <c r="M312" s="15" t="e">
        <f t="shared" si="26"/>
        <v>#DIV/0!</v>
      </c>
      <c r="N312" s="8"/>
      <c r="O312" s="8"/>
      <c r="P312" s="15" t="e">
        <f t="shared" si="27"/>
        <v>#DIV/0!</v>
      </c>
      <c r="Q312" s="10"/>
      <c r="R312" s="201" t="e">
        <f t="shared" si="28"/>
        <v>#DIV/0!</v>
      </c>
      <c r="S312" s="202"/>
      <c r="T312" s="202"/>
      <c r="U312" s="338"/>
      <c r="V312" s="51" t="e">
        <f t="shared" si="29"/>
        <v>#DIV/0!</v>
      </c>
      <c r="W312" s="10"/>
      <c r="X312" s="10"/>
    </row>
    <row r="313" spans="1:24" ht="15.75" customHeight="1" x14ac:dyDescent="0.25">
      <c r="A313" s="6">
        <v>26</v>
      </c>
      <c r="B313" s="125" t="s">
        <v>418</v>
      </c>
      <c r="C313" s="45"/>
      <c r="D313" s="8"/>
      <c r="E313" s="8"/>
      <c r="F313" s="8"/>
      <c r="G313" s="8"/>
      <c r="H313" s="8"/>
      <c r="I313" s="8"/>
      <c r="J313" s="15" t="e">
        <f t="shared" si="25"/>
        <v>#DIV/0!</v>
      </c>
      <c r="K313" s="8"/>
      <c r="L313" s="8"/>
      <c r="M313" s="15" t="e">
        <f t="shared" si="26"/>
        <v>#DIV/0!</v>
      </c>
      <c r="N313" s="8"/>
      <c r="O313" s="8"/>
      <c r="P313" s="15" t="e">
        <f t="shared" si="27"/>
        <v>#DIV/0!</v>
      </c>
      <c r="Q313" s="10"/>
      <c r="R313" s="201" t="e">
        <f t="shared" si="28"/>
        <v>#DIV/0!</v>
      </c>
      <c r="S313" s="202"/>
      <c r="T313" s="202"/>
      <c r="U313" s="338"/>
      <c r="V313" s="51" t="e">
        <f t="shared" si="29"/>
        <v>#DIV/0!</v>
      </c>
      <c r="W313" s="10"/>
      <c r="X313" s="10"/>
    </row>
    <row r="314" spans="1:24" ht="15.75" customHeight="1" x14ac:dyDescent="0.25">
      <c r="A314" s="6">
        <v>27</v>
      </c>
      <c r="B314" s="70" t="s">
        <v>405</v>
      </c>
      <c r="C314" s="45"/>
      <c r="D314" s="8"/>
      <c r="E314" s="8"/>
      <c r="F314" s="8"/>
      <c r="G314" s="8"/>
      <c r="H314" s="8"/>
      <c r="I314" s="8"/>
      <c r="J314" s="15" t="e">
        <f t="shared" si="25"/>
        <v>#DIV/0!</v>
      </c>
      <c r="K314" s="8"/>
      <c r="L314" s="8"/>
      <c r="M314" s="15" t="e">
        <f t="shared" si="26"/>
        <v>#DIV/0!</v>
      </c>
      <c r="N314" s="8"/>
      <c r="O314" s="8"/>
      <c r="P314" s="15" t="e">
        <f t="shared" si="27"/>
        <v>#DIV/0!</v>
      </c>
      <c r="Q314" s="10"/>
      <c r="R314" s="201" t="e">
        <f t="shared" si="28"/>
        <v>#DIV/0!</v>
      </c>
      <c r="S314" s="202"/>
      <c r="T314" s="202"/>
      <c r="U314" s="338"/>
      <c r="V314" s="51" t="e">
        <f t="shared" si="29"/>
        <v>#DIV/0!</v>
      </c>
      <c r="W314" s="10"/>
      <c r="X314" s="10"/>
    </row>
    <row r="315" spans="1:24" ht="15.75" customHeight="1" x14ac:dyDescent="0.25">
      <c r="A315" s="6">
        <v>28</v>
      </c>
      <c r="B315" s="125" t="s">
        <v>162</v>
      </c>
      <c r="C315" s="45"/>
      <c r="D315" s="8"/>
      <c r="E315" s="8"/>
      <c r="F315" s="8"/>
      <c r="G315" s="8"/>
      <c r="H315" s="8"/>
      <c r="I315" s="8"/>
      <c r="J315" s="15" t="e">
        <f t="shared" si="25"/>
        <v>#DIV/0!</v>
      </c>
      <c r="K315" s="8"/>
      <c r="L315" s="8"/>
      <c r="M315" s="15" t="e">
        <f t="shared" si="26"/>
        <v>#DIV/0!</v>
      </c>
      <c r="N315" s="8"/>
      <c r="O315" s="8"/>
      <c r="P315" s="15" t="e">
        <f t="shared" si="27"/>
        <v>#DIV/0!</v>
      </c>
      <c r="Q315" s="10"/>
      <c r="R315" s="201" t="e">
        <f t="shared" si="28"/>
        <v>#DIV/0!</v>
      </c>
      <c r="S315" s="202"/>
      <c r="T315" s="202"/>
      <c r="U315" s="338"/>
      <c r="V315" s="51" t="e">
        <f t="shared" si="29"/>
        <v>#DIV/0!</v>
      </c>
      <c r="W315" s="10"/>
      <c r="X315" s="10"/>
    </row>
    <row r="316" spans="1:24" ht="15.75" customHeight="1" x14ac:dyDescent="0.25">
      <c r="A316" s="6">
        <v>29</v>
      </c>
      <c r="B316" s="125" t="s">
        <v>258</v>
      </c>
      <c r="C316" s="45"/>
      <c r="D316" s="8"/>
      <c r="E316" s="8"/>
      <c r="F316" s="8"/>
      <c r="G316" s="8"/>
      <c r="H316" s="8"/>
      <c r="I316" s="8"/>
      <c r="J316" s="15" t="e">
        <f t="shared" si="25"/>
        <v>#DIV/0!</v>
      </c>
      <c r="K316" s="8"/>
      <c r="L316" s="8"/>
      <c r="M316" s="15" t="e">
        <f t="shared" si="26"/>
        <v>#DIV/0!</v>
      </c>
      <c r="N316" s="8"/>
      <c r="O316" s="8"/>
      <c r="P316" s="15" t="e">
        <f t="shared" si="27"/>
        <v>#DIV/0!</v>
      </c>
      <c r="Q316" s="10"/>
      <c r="R316" s="201" t="e">
        <f t="shared" si="28"/>
        <v>#DIV/0!</v>
      </c>
      <c r="S316" s="202"/>
      <c r="T316" s="202"/>
      <c r="U316" s="338"/>
      <c r="V316" s="51" t="e">
        <f t="shared" si="29"/>
        <v>#DIV/0!</v>
      </c>
      <c r="W316" s="10"/>
      <c r="X316" s="10"/>
    </row>
    <row r="317" spans="1:24" ht="15.75" customHeight="1" x14ac:dyDescent="0.25">
      <c r="A317" s="6">
        <v>30</v>
      </c>
      <c r="B317" s="125" t="s">
        <v>315</v>
      </c>
      <c r="C317" s="45"/>
      <c r="D317" s="8"/>
      <c r="E317" s="8"/>
      <c r="F317" s="8"/>
      <c r="G317" s="8"/>
      <c r="H317" s="8"/>
      <c r="I317" s="8"/>
      <c r="J317" s="15" t="e">
        <f t="shared" si="25"/>
        <v>#DIV/0!</v>
      </c>
      <c r="K317" s="8"/>
      <c r="L317" s="8"/>
      <c r="M317" s="15" t="e">
        <f t="shared" si="26"/>
        <v>#DIV/0!</v>
      </c>
      <c r="N317" s="8"/>
      <c r="O317" s="8"/>
      <c r="P317" s="15" t="e">
        <f t="shared" si="27"/>
        <v>#DIV/0!</v>
      </c>
      <c r="Q317" s="10"/>
      <c r="R317" s="201" t="e">
        <f t="shared" si="28"/>
        <v>#DIV/0!</v>
      </c>
      <c r="S317" s="202"/>
      <c r="T317" s="202"/>
      <c r="U317" s="338"/>
      <c r="V317" s="51" t="e">
        <f t="shared" si="29"/>
        <v>#DIV/0!</v>
      </c>
      <c r="W317" s="10"/>
      <c r="X317" s="10"/>
    </row>
    <row r="318" spans="1:24" ht="15.75" customHeight="1" x14ac:dyDescent="0.25">
      <c r="A318" s="6">
        <v>31</v>
      </c>
      <c r="B318" s="117" t="s">
        <v>923</v>
      </c>
      <c r="C318" s="45"/>
      <c r="D318" s="8"/>
      <c r="E318" s="8"/>
      <c r="F318" s="8"/>
      <c r="G318" s="8"/>
      <c r="H318" s="8"/>
      <c r="I318" s="8"/>
      <c r="J318" s="15" t="e">
        <f t="shared" si="25"/>
        <v>#DIV/0!</v>
      </c>
      <c r="K318" s="8"/>
      <c r="L318" s="8"/>
      <c r="M318" s="15" t="e">
        <f t="shared" si="26"/>
        <v>#DIV/0!</v>
      </c>
      <c r="N318" s="8"/>
      <c r="O318" s="8"/>
      <c r="P318" s="15" t="e">
        <f t="shared" si="27"/>
        <v>#DIV/0!</v>
      </c>
      <c r="Q318" s="10"/>
      <c r="R318" s="201" t="e">
        <f t="shared" si="28"/>
        <v>#DIV/0!</v>
      </c>
      <c r="S318" s="202"/>
      <c r="T318" s="202"/>
      <c r="U318" s="338"/>
      <c r="V318" s="51" t="e">
        <f t="shared" si="29"/>
        <v>#DIV/0!</v>
      </c>
      <c r="W318" s="10"/>
      <c r="X318" s="10"/>
    </row>
    <row r="319" spans="1:24" ht="15.75" customHeight="1" x14ac:dyDescent="0.25">
      <c r="A319" s="6">
        <v>32</v>
      </c>
      <c r="B319" s="125" t="s">
        <v>259</v>
      </c>
      <c r="C319" s="45"/>
      <c r="D319" s="8"/>
      <c r="E319" s="8"/>
      <c r="F319" s="8"/>
      <c r="G319" s="8"/>
      <c r="H319" s="8"/>
      <c r="I319" s="8"/>
      <c r="J319" s="15" t="e">
        <f t="shared" si="25"/>
        <v>#DIV/0!</v>
      </c>
      <c r="K319" s="8"/>
      <c r="L319" s="8"/>
      <c r="M319" s="15" t="e">
        <f t="shared" si="26"/>
        <v>#DIV/0!</v>
      </c>
      <c r="N319" s="8"/>
      <c r="O319" s="8"/>
      <c r="P319" s="15" t="e">
        <f t="shared" si="27"/>
        <v>#DIV/0!</v>
      </c>
      <c r="Q319" s="10"/>
      <c r="R319" s="201" t="e">
        <f t="shared" si="28"/>
        <v>#DIV/0!</v>
      </c>
      <c r="S319" s="202"/>
      <c r="T319" s="202"/>
      <c r="U319" s="338"/>
      <c r="V319" s="51" t="e">
        <f t="shared" si="29"/>
        <v>#DIV/0!</v>
      </c>
      <c r="W319" s="10"/>
      <c r="X319" s="10"/>
    </row>
    <row r="320" spans="1:24" ht="15.75" customHeight="1" x14ac:dyDescent="0.25">
      <c r="A320" s="6">
        <v>33</v>
      </c>
      <c r="B320" s="125" t="s">
        <v>316</v>
      </c>
      <c r="C320" s="45"/>
      <c r="D320" s="8"/>
      <c r="E320" s="8"/>
      <c r="F320" s="8"/>
      <c r="G320" s="8"/>
      <c r="H320" s="8"/>
      <c r="I320" s="8"/>
      <c r="J320" s="15" t="e">
        <f t="shared" si="25"/>
        <v>#DIV/0!</v>
      </c>
      <c r="K320" s="8"/>
      <c r="L320" s="8"/>
      <c r="M320" s="15" t="e">
        <f t="shared" si="26"/>
        <v>#DIV/0!</v>
      </c>
      <c r="N320" s="8"/>
      <c r="O320" s="8"/>
      <c r="P320" s="15" t="e">
        <f t="shared" si="27"/>
        <v>#DIV/0!</v>
      </c>
      <c r="Q320" s="10"/>
      <c r="R320" s="201" t="e">
        <f t="shared" si="28"/>
        <v>#DIV/0!</v>
      </c>
      <c r="S320" s="202"/>
      <c r="T320" s="202"/>
      <c r="U320" s="338"/>
      <c r="V320" s="51" t="e">
        <f t="shared" si="29"/>
        <v>#DIV/0!</v>
      </c>
      <c r="W320" s="10"/>
      <c r="X320" s="10"/>
    </row>
    <row r="321" spans="1:24" ht="15.75" customHeight="1" x14ac:dyDescent="0.25">
      <c r="A321" s="6">
        <v>34</v>
      </c>
      <c r="B321" s="116" t="s">
        <v>773</v>
      </c>
      <c r="C321" s="45"/>
      <c r="D321" s="8"/>
      <c r="E321" s="8"/>
      <c r="F321" s="8"/>
      <c r="G321" s="8"/>
      <c r="H321" s="8"/>
      <c r="I321" s="8"/>
      <c r="J321" s="15" t="e">
        <f t="shared" si="25"/>
        <v>#DIV/0!</v>
      </c>
      <c r="K321" s="8"/>
      <c r="L321" s="8"/>
      <c r="M321" s="15" t="e">
        <f t="shared" si="26"/>
        <v>#DIV/0!</v>
      </c>
      <c r="N321" s="8"/>
      <c r="O321" s="8"/>
      <c r="P321" s="15" t="e">
        <f t="shared" si="27"/>
        <v>#DIV/0!</v>
      </c>
      <c r="Q321" s="10"/>
      <c r="R321" s="201" t="e">
        <f t="shared" si="28"/>
        <v>#DIV/0!</v>
      </c>
      <c r="S321" s="202"/>
      <c r="T321" s="202"/>
      <c r="U321" s="338"/>
      <c r="V321" s="51" t="e">
        <f t="shared" si="29"/>
        <v>#DIV/0!</v>
      </c>
      <c r="W321" s="10"/>
      <c r="X321" s="10"/>
    </row>
    <row r="322" spans="1:24" ht="15.75" customHeight="1" x14ac:dyDescent="0.25">
      <c r="A322" s="6">
        <v>35</v>
      </c>
      <c r="B322" s="113"/>
      <c r="C322" s="45"/>
      <c r="D322" s="8"/>
      <c r="E322" s="8"/>
      <c r="F322" s="8"/>
      <c r="G322" s="8"/>
      <c r="H322" s="8"/>
      <c r="I322" s="8"/>
      <c r="J322" s="15" t="e">
        <f t="shared" si="25"/>
        <v>#DIV/0!</v>
      </c>
      <c r="K322" s="8"/>
      <c r="L322" s="8"/>
      <c r="M322" s="15" t="e">
        <f t="shared" si="26"/>
        <v>#DIV/0!</v>
      </c>
      <c r="N322" s="8"/>
      <c r="O322" s="8"/>
      <c r="P322" s="15" t="e">
        <f t="shared" si="27"/>
        <v>#DIV/0!</v>
      </c>
      <c r="Q322" s="10"/>
      <c r="R322" s="201" t="e">
        <f t="shared" si="28"/>
        <v>#DIV/0!</v>
      </c>
      <c r="S322" s="202"/>
      <c r="T322" s="202"/>
      <c r="U322" s="338"/>
      <c r="V322" s="51" t="e">
        <f t="shared" si="29"/>
        <v>#DIV/0!</v>
      </c>
      <c r="W322" s="10"/>
      <c r="X322" s="10"/>
    </row>
    <row r="323" spans="1:24" ht="15.75" customHeight="1" x14ac:dyDescent="0.25">
      <c r="A323" s="6">
        <v>36</v>
      </c>
      <c r="B323" s="97"/>
      <c r="C323" s="45"/>
      <c r="D323" s="8"/>
      <c r="E323" s="8"/>
      <c r="F323" s="8"/>
      <c r="G323" s="8"/>
      <c r="H323" s="8"/>
      <c r="I323" s="8"/>
      <c r="J323" s="15" t="e">
        <f t="shared" si="25"/>
        <v>#DIV/0!</v>
      </c>
      <c r="K323" s="8"/>
      <c r="L323" s="8"/>
      <c r="M323" s="15" t="e">
        <f t="shared" si="26"/>
        <v>#DIV/0!</v>
      </c>
      <c r="N323" s="8"/>
      <c r="O323" s="8"/>
      <c r="P323" s="15" t="e">
        <f t="shared" si="27"/>
        <v>#DIV/0!</v>
      </c>
      <c r="Q323" s="10"/>
      <c r="R323" s="201" t="e">
        <f t="shared" si="28"/>
        <v>#DIV/0!</v>
      </c>
      <c r="S323" s="202"/>
      <c r="T323" s="202"/>
      <c r="U323" s="338"/>
      <c r="V323" s="51" t="e">
        <f t="shared" si="29"/>
        <v>#DIV/0!</v>
      </c>
      <c r="W323" s="10"/>
      <c r="X323" s="10"/>
    </row>
    <row r="324" spans="1:24" ht="15.75" customHeight="1" x14ac:dyDescent="0.25">
      <c r="A324" s="6">
        <v>37</v>
      </c>
      <c r="B324" s="97"/>
      <c r="C324" s="45"/>
      <c r="D324" s="8"/>
      <c r="E324" s="8"/>
      <c r="F324" s="8"/>
      <c r="G324" s="8"/>
      <c r="H324" s="8"/>
      <c r="I324" s="8"/>
      <c r="J324" s="15" t="e">
        <f t="shared" si="25"/>
        <v>#DIV/0!</v>
      </c>
      <c r="K324" s="8"/>
      <c r="L324" s="8"/>
      <c r="M324" s="15" t="e">
        <f t="shared" si="26"/>
        <v>#DIV/0!</v>
      </c>
      <c r="N324" s="8"/>
      <c r="O324" s="8"/>
      <c r="P324" s="15" t="e">
        <f t="shared" si="27"/>
        <v>#DIV/0!</v>
      </c>
      <c r="Q324" s="10"/>
      <c r="R324" s="201" t="e">
        <f t="shared" si="28"/>
        <v>#DIV/0!</v>
      </c>
      <c r="S324" s="202"/>
      <c r="T324" s="202"/>
      <c r="U324" s="338"/>
      <c r="V324" s="51" t="e">
        <f t="shared" si="29"/>
        <v>#DIV/0!</v>
      </c>
      <c r="W324" s="10"/>
      <c r="X324" s="10"/>
    </row>
    <row r="325" spans="1:24" ht="15.75" customHeight="1" x14ac:dyDescent="0.25">
      <c r="A325" s="6">
        <v>38</v>
      </c>
      <c r="B325" s="97"/>
      <c r="C325" s="45"/>
      <c r="D325" s="8"/>
      <c r="E325" s="8"/>
      <c r="F325" s="8"/>
      <c r="G325" s="8"/>
      <c r="H325" s="8"/>
      <c r="I325" s="8"/>
      <c r="J325" s="15" t="e">
        <f t="shared" si="25"/>
        <v>#DIV/0!</v>
      </c>
      <c r="K325" s="8"/>
      <c r="L325" s="8"/>
      <c r="M325" s="15" t="e">
        <f t="shared" si="26"/>
        <v>#DIV/0!</v>
      </c>
      <c r="N325" s="8"/>
      <c r="O325" s="8"/>
      <c r="P325" s="15" t="e">
        <f t="shared" si="27"/>
        <v>#DIV/0!</v>
      </c>
      <c r="Q325" s="10"/>
      <c r="R325" s="201" t="e">
        <f t="shared" si="28"/>
        <v>#DIV/0!</v>
      </c>
      <c r="S325" s="202"/>
      <c r="T325" s="202"/>
      <c r="U325" s="338"/>
      <c r="V325" s="51" t="e">
        <f t="shared" si="29"/>
        <v>#DIV/0!</v>
      </c>
      <c r="W325" s="10"/>
      <c r="X325" s="10"/>
    </row>
    <row r="326" spans="1:24" ht="15.75" customHeight="1" x14ac:dyDescent="0.25">
      <c r="A326" s="6">
        <v>39</v>
      </c>
      <c r="B326" s="90"/>
      <c r="C326" s="45"/>
      <c r="D326" s="8"/>
      <c r="E326" s="8"/>
      <c r="F326" s="8"/>
      <c r="G326" s="8"/>
      <c r="H326" s="8"/>
      <c r="I326" s="8"/>
      <c r="J326" s="15" t="e">
        <f t="shared" si="25"/>
        <v>#DIV/0!</v>
      </c>
      <c r="K326" s="8"/>
      <c r="L326" s="8"/>
      <c r="M326" s="15" t="e">
        <f t="shared" si="26"/>
        <v>#DIV/0!</v>
      </c>
      <c r="N326" s="8"/>
      <c r="O326" s="8"/>
      <c r="P326" s="15" t="e">
        <f t="shared" si="27"/>
        <v>#DIV/0!</v>
      </c>
      <c r="Q326" s="10"/>
      <c r="R326" s="201" t="e">
        <f t="shared" si="28"/>
        <v>#DIV/0!</v>
      </c>
      <c r="S326" s="202"/>
      <c r="T326" s="202"/>
      <c r="U326" s="338"/>
      <c r="V326" s="51" t="e">
        <f t="shared" si="29"/>
        <v>#DIV/0!</v>
      </c>
      <c r="W326" s="10"/>
      <c r="X326" s="10"/>
    </row>
    <row r="327" spans="1:24" ht="15.75" customHeight="1" x14ac:dyDescent="0.25">
      <c r="A327" s="6">
        <v>40</v>
      </c>
      <c r="B327" s="91"/>
      <c r="C327" s="45"/>
      <c r="D327" s="8"/>
      <c r="E327" s="8"/>
      <c r="F327" s="8"/>
      <c r="G327" s="8"/>
      <c r="H327" s="8"/>
      <c r="I327" s="8"/>
      <c r="J327" s="15" t="e">
        <f t="shared" si="25"/>
        <v>#DIV/0!</v>
      </c>
      <c r="K327" s="8"/>
      <c r="L327" s="8"/>
      <c r="M327" s="15" t="e">
        <f t="shared" si="26"/>
        <v>#DIV/0!</v>
      </c>
      <c r="N327" s="8"/>
      <c r="O327" s="8"/>
      <c r="P327" s="15" t="e">
        <f t="shared" si="27"/>
        <v>#DIV/0!</v>
      </c>
      <c r="Q327" s="10"/>
      <c r="R327" s="201" t="e">
        <f t="shared" si="28"/>
        <v>#DIV/0!</v>
      </c>
      <c r="S327" s="202"/>
      <c r="T327" s="202"/>
      <c r="U327" s="338"/>
      <c r="V327" s="51" t="e">
        <f t="shared" si="29"/>
        <v>#DIV/0!</v>
      </c>
      <c r="W327" s="10"/>
      <c r="X327" s="10"/>
    </row>
    <row r="328" spans="1:24" ht="15.75" customHeight="1" x14ac:dyDescent="0.25">
      <c r="A328" s="6">
        <v>41</v>
      </c>
      <c r="B328" s="94"/>
      <c r="C328" s="45"/>
      <c r="D328" s="8"/>
      <c r="E328" s="8"/>
      <c r="F328" s="8"/>
      <c r="G328" s="8"/>
      <c r="H328" s="8"/>
      <c r="I328" s="8"/>
      <c r="J328" s="15" t="e">
        <f t="shared" si="25"/>
        <v>#DIV/0!</v>
      </c>
      <c r="K328" s="8"/>
      <c r="L328" s="8"/>
      <c r="M328" s="15" t="e">
        <f t="shared" si="26"/>
        <v>#DIV/0!</v>
      </c>
      <c r="N328" s="8"/>
      <c r="O328" s="8"/>
      <c r="P328" s="15" t="e">
        <f t="shared" si="27"/>
        <v>#DIV/0!</v>
      </c>
      <c r="Q328" s="10"/>
      <c r="R328" s="201" t="e">
        <f t="shared" si="28"/>
        <v>#DIV/0!</v>
      </c>
      <c r="S328" s="202"/>
      <c r="T328" s="202"/>
      <c r="U328" s="338"/>
      <c r="V328" s="51" t="e">
        <f t="shared" si="29"/>
        <v>#DIV/0!</v>
      </c>
      <c r="W328" s="10"/>
      <c r="X328" s="10"/>
    </row>
    <row r="329" spans="1:24" ht="15.75" customHeight="1" x14ac:dyDescent="0.25">
      <c r="A329" s="6">
        <v>42</v>
      </c>
      <c r="B329" s="94"/>
      <c r="C329" s="45"/>
      <c r="D329" s="8"/>
      <c r="E329" s="8"/>
      <c r="F329" s="8"/>
      <c r="G329" s="8"/>
      <c r="H329" s="8"/>
      <c r="I329" s="8"/>
      <c r="J329" s="15" t="e">
        <f t="shared" si="25"/>
        <v>#DIV/0!</v>
      </c>
      <c r="K329" s="8"/>
      <c r="L329" s="8"/>
      <c r="M329" s="15" t="e">
        <f t="shared" si="26"/>
        <v>#DIV/0!</v>
      </c>
      <c r="N329" s="8"/>
      <c r="O329" s="8"/>
      <c r="P329" s="15" t="e">
        <f t="shared" si="27"/>
        <v>#DIV/0!</v>
      </c>
      <c r="Q329" s="10"/>
      <c r="R329" s="201" t="e">
        <f t="shared" si="28"/>
        <v>#DIV/0!</v>
      </c>
      <c r="S329" s="202"/>
      <c r="T329" s="202"/>
      <c r="U329" s="338"/>
      <c r="V329" s="51" t="e">
        <f t="shared" si="29"/>
        <v>#DIV/0!</v>
      </c>
      <c r="W329" s="10"/>
      <c r="X329" s="10"/>
    </row>
    <row r="330" spans="1:24" ht="15.75" customHeight="1" x14ac:dyDescent="0.25">
      <c r="A330" s="6">
        <v>43</v>
      </c>
      <c r="B330" s="94"/>
      <c r="C330" s="45"/>
      <c r="D330" s="8"/>
      <c r="E330" s="8"/>
      <c r="F330" s="8"/>
      <c r="G330" s="8"/>
      <c r="H330" s="8"/>
      <c r="I330" s="8"/>
      <c r="J330" s="15" t="e">
        <f t="shared" si="25"/>
        <v>#DIV/0!</v>
      </c>
      <c r="K330" s="8"/>
      <c r="L330" s="8"/>
      <c r="M330" s="15" t="e">
        <f t="shared" si="26"/>
        <v>#DIV/0!</v>
      </c>
      <c r="N330" s="8"/>
      <c r="O330" s="8"/>
      <c r="P330" s="15" t="e">
        <f t="shared" si="27"/>
        <v>#DIV/0!</v>
      </c>
      <c r="Q330" s="10"/>
      <c r="R330" s="201" t="e">
        <f t="shared" si="28"/>
        <v>#DIV/0!</v>
      </c>
      <c r="S330" s="202"/>
      <c r="T330" s="202"/>
      <c r="U330" s="338"/>
      <c r="V330" s="51" t="e">
        <f t="shared" si="29"/>
        <v>#DIV/0!</v>
      </c>
      <c r="W330" s="10"/>
      <c r="X330" s="10"/>
    </row>
    <row r="331" spans="1:24" ht="15.75" customHeight="1" x14ac:dyDescent="0.25">
      <c r="A331" s="6">
        <v>44</v>
      </c>
      <c r="B331" s="94"/>
      <c r="C331" s="45"/>
      <c r="D331" s="8"/>
      <c r="E331" s="8"/>
      <c r="F331" s="8"/>
      <c r="G331" s="8"/>
      <c r="H331" s="8"/>
      <c r="I331" s="8"/>
      <c r="J331" s="15" t="e">
        <f t="shared" si="25"/>
        <v>#DIV/0!</v>
      </c>
      <c r="K331" s="8"/>
      <c r="L331" s="8"/>
      <c r="M331" s="15" t="e">
        <f t="shared" si="26"/>
        <v>#DIV/0!</v>
      </c>
      <c r="N331" s="8"/>
      <c r="O331" s="8"/>
      <c r="P331" s="15" t="e">
        <f t="shared" si="27"/>
        <v>#DIV/0!</v>
      </c>
      <c r="Q331" s="10"/>
      <c r="R331" s="201" t="e">
        <f t="shared" si="28"/>
        <v>#DIV/0!</v>
      </c>
      <c r="S331" s="202"/>
      <c r="T331" s="202"/>
      <c r="U331" s="338"/>
      <c r="V331" s="51" t="e">
        <f t="shared" si="29"/>
        <v>#DIV/0!</v>
      </c>
      <c r="W331" s="10"/>
      <c r="X331" s="10"/>
    </row>
    <row r="332" spans="1:24" ht="15.75" customHeight="1" x14ac:dyDescent="0.25">
      <c r="A332" s="6">
        <v>45</v>
      </c>
      <c r="B332" s="94"/>
      <c r="C332" s="45"/>
      <c r="D332" s="8"/>
      <c r="E332" s="8"/>
      <c r="F332" s="8"/>
      <c r="G332" s="8"/>
      <c r="H332" s="8"/>
      <c r="I332" s="8"/>
      <c r="J332" s="15" t="e">
        <f t="shared" si="25"/>
        <v>#DIV/0!</v>
      </c>
      <c r="K332" s="8"/>
      <c r="L332" s="8"/>
      <c r="M332" s="15" t="e">
        <f t="shared" si="26"/>
        <v>#DIV/0!</v>
      </c>
      <c r="N332" s="8"/>
      <c r="O332" s="8"/>
      <c r="P332" s="15" t="e">
        <f t="shared" si="27"/>
        <v>#DIV/0!</v>
      </c>
      <c r="Q332" s="10"/>
      <c r="R332" s="201" t="e">
        <f t="shared" si="28"/>
        <v>#DIV/0!</v>
      </c>
      <c r="S332" s="202"/>
      <c r="T332" s="202"/>
      <c r="U332" s="338"/>
      <c r="V332" s="51" t="e">
        <f t="shared" si="29"/>
        <v>#DIV/0!</v>
      </c>
      <c r="W332" s="10"/>
      <c r="X332" s="10"/>
    </row>
    <row r="333" spans="1:24" ht="15.75" customHeight="1" thickBot="1" x14ac:dyDescent="0.3">
      <c r="A333" s="16">
        <v>46</v>
      </c>
      <c r="B333" s="96"/>
      <c r="C333" s="46"/>
      <c r="D333" s="47"/>
      <c r="E333" s="47"/>
      <c r="F333" s="47"/>
      <c r="G333" s="47"/>
      <c r="H333" s="47"/>
      <c r="I333" s="47"/>
      <c r="J333" s="48" t="e">
        <f t="shared" si="25"/>
        <v>#DIV/0!</v>
      </c>
      <c r="K333" s="47"/>
      <c r="L333" s="47"/>
      <c r="M333" s="48" t="e">
        <f t="shared" si="26"/>
        <v>#DIV/0!</v>
      </c>
      <c r="N333" s="47"/>
      <c r="O333" s="47"/>
      <c r="P333" s="48" t="e">
        <f t="shared" si="27"/>
        <v>#DIV/0!</v>
      </c>
      <c r="Q333" s="49"/>
      <c r="R333" s="330" t="e">
        <f t="shared" si="28"/>
        <v>#DIV/0!</v>
      </c>
      <c r="S333" s="331"/>
      <c r="T333" s="331"/>
      <c r="U333" s="344"/>
      <c r="V333" s="52" t="e">
        <f t="shared" si="29"/>
        <v>#DIV/0!</v>
      </c>
      <c r="W333" s="10"/>
      <c r="X333" s="10"/>
    </row>
    <row r="334" spans="1:24" ht="15.75" customHeight="1" x14ac:dyDescent="0.25">
      <c r="A334" s="263"/>
      <c r="B334" s="301"/>
      <c r="C334" s="257"/>
      <c r="D334" s="345"/>
      <c r="E334" s="267"/>
      <c r="F334" s="270"/>
      <c r="G334" s="270"/>
      <c r="H334" s="270"/>
      <c r="I334" s="270"/>
      <c r="J334" s="272"/>
      <c r="K334" s="272"/>
      <c r="L334" s="257"/>
      <c r="M334" s="259"/>
      <c r="N334" s="259"/>
      <c r="O334" s="259"/>
      <c r="P334" s="259"/>
      <c r="Q334" s="261"/>
      <c r="R334" s="277"/>
      <c r="S334" s="278"/>
      <c r="T334" s="279"/>
      <c r="U334" s="283"/>
      <c r="V334" s="284"/>
      <c r="W334" s="255"/>
      <c r="X334" s="181"/>
    </row>
    <row r="335" spans="1:24" ht="15.75" customHeight="1" x14ac:dyDescent="0.25">
      <c r="A335" s="264"/>
      <c r="B335" s="302"/>
      <c r="C335" s="205"/>
      <c r="D335" s="346"/>
      <c r="E335" s="210"/>
      <c r="F335" s="211"/>
      <c r="G335" s="211"/>
      <c r="H335" s="211"/>
      <c r="I335" s="211"/>
      <c r="J335" s="204"/>
      <c r="K335" s="204"/>
      <c r="L335" s="205"/>
      <c r="M335" s="185"/>
      <c r="N335" s="185"/>
      <c r="O335" s="185"/>
      <c r="P335" s="185"/>
      <c r="Q335" s="187"/>
      <c r="R335" s="188"/>
      <c r="S335" s="189"/>
      <c r="T335" s="190"/>
      <c r="U335" s="194"/>
      <c r="V335" s="285"/>
      <c r="W335" s="255"/>
      <c r="X335" s="181"/>
    </row>
    <row r="336" spans="1:24" ht="15.75" customHeight="1" x14ac:dyDescent="0.25">
      <c r="A336" s="264"/>
      <c r="B336" s="303"/>
      <c r="C336" s="205"/>
      <c r="D336" s="346"/>
      <c r="E336" s="210"/>
      <c r="F336" s="211"/>
      <c r="G336" s="211"/>
      <c r="H336" s="211"/>
      <c r="I336" s="211"/>
      <c r="J336" s="204"/>
      <c r="K336" s="204"/>
      <c r="L336" s="205"/>
      <c r="M336" s="185"/>
      <c r="N336" s="185"/>
      <c r="O336" s="185"/>
      <c r="P336" s="185"/>
      <c r="Q336" s="187"/>
      <c r="R336" s="188"/>
      <c r="S336" s="189"/>
      <c r="T336" s="190"/>
      <c r="U336" s="194"/>
      <c r="V336" s="285"/>
      <c r="W336" s="255"/>
      <c r="X336" s="181"/>
    </row>
    <row r="337" spans="1:24" ht="15.75" customHeight="1" thickBot="1" x14ac:dyDescent="0.3">
      <c r="A337" s="265"/>
      <c r="B337" s="304"/>
      <c r="C337" s="258"/>
      <c r="D337" s="347"/>
      <c r="E337" s="268"/>
      <c r="F337" s="271"/>
      <c r="G337" s="271"/>
      <c r="H337" s="271"/>
      <c r="I337" s="271"/>
      <c r="J337" s="273"/>
      <c r="K337" s="273"/>
      <c r="L337" s="258"/>
      <c r="M337" s="260"/>
      <c r="N337" s="260"/>
      <c r="O337" s="260"/>
      <c r="P337" s="260"/>
      <c r="Q337" s="262"/>
      <c r="R337" s="280"/>
      <c r="S337" s="281"/>
      <c r="T337" s="282"/>
      <c r="U337" s="286"/>
      <c r="V337" s="287"/>
      <c r="W337" s="256"/>
      <c r="X337" s="182"/>
    </row>
    <row r="338" spans="1:24" ht="15.75" customHeight="1" x14ac:dyDescent="0.25"/>
    <row r="339" spans="1:24" ht="15.75" customHeight="1" x14ac:dyDescent="0.25"/>
    <row r="340" spans="1:24" ht="15.75" customHeight="1" x14ac:dyDescent="0.25"/>
    <row r="341" spans="1:24" ht="15.75" customHeight="1" x14ac:dyDescent="0.25"/>
    <row r="342" spans="1:24" ht="15.75" customHeight="1" x14ac:dyDescent="0.25"/>
    <row r="343" spans="1:24" ht="15.75" customHeight="1" x14ac:dyDescent="0.25"/>
    <row r="344" spans="1:24" ht="15.75" customHeight="1" x14ac:dyDescent="0.25"/>
    <row r="345" spans="1:24" ht="15.75" customHeight="1" x14ac:dyDescent="0.25"/>
    <row r="346" spans="1:24" ht="15.75" customHeight="1" x14ac:dyDescent="0.25"/>
    <row r="347" spans="1:24" ht="15.75" customHeight="1" x14ac:dyDescent="0.25"/>
    <row r="348" spans="1:24" ht="15.75" customHeight="1" x14ac:dyDescent="0.25"/>
    <row r="349" spans="1:24" ht="15.75" customHeight="1" x14ac:dyDescent="0.25"/>
    <row r="350" spans="1:24" ht="15.75" customHeight="1" x14ac:dyDescent="0.25"/>
    <row r="351" spans="1:24" ht="15.75" customHeight="1" x14ac:dyDescent="0.25"/>
    <row r="352" spans="1:24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</sheetData>
  <sheetProtection algorithmName="SHA-512" hashValue="3KjsOF7QDuu4ISYrmE6U349HFMbZtMPoF7DIc8Z+FNOqdbDNO0GS2PfO7lf8AJrnh8IFWsLy5MR7GsStQy3tzg==" saltValue="ihLCh0H09wXbV4KV32bHGw==" spinCount="100000" sheet="1" objects="1" scenarios="1"/>
  <sortState xmlns:xlrd2="http://schemas.microsoft.com/office/spreadsheetml/2017/richdata2" ref="B231:B266">
    <sortCondition ref="B230:B266"/>
  </sortState>
  <mergeCells count="544">
    <mergeCell ref="W276:W279"/>
    <mergeCell ref="X276:X279"/>
    <mergeCell ref="B278:B279"/>
    <mergeCell ref="L276:L279"/>
    <mergeCell ref="M276:M279"/>
    <mergeCell ref="N276:N279"/>
    <mergeCell ref="O276:O279"/>
    <mergeCell ref="P276:P279"/>
    <mergeCell ref="Q276:Q279"/>
    <mergeCell ref="F276:F279"/>
    <mergeCell ref="G276:G279"/>
    <mergeCell ref="H276:H279"/>
    <mergeCell ref="I276:I279"/>
    <mergeCell ref="J276:J279"/>
    <mergeCell ref="K276:K279"/>
    <mergeCell ref="R271:U271"/>
    <mergeCell ref="R272:U272"/>
    <mergeCell ref="R273:U273"/>
    <mergeCell ref="R274:U274"/>
    <mergeCell ref="R275:U275"/>
    <mergeCell ref="A276:A279"/>
    <mergeCell ref="B276:B277"/>
    <mergeCell ref="C276:C279"/>
    <mergeCell ref="D276:D279"/>
    <mergeCell ref="E276:E279"/>
    <mergeCell ref="R276:T279"/>
    <mergeCell ref="U276:V279"/>
    <mergeCell ref="R265:U265"/>
    <mergeCell ref="R266:U266"/>
    <mergeCell ref="R267:U267"/>
    <mergeCell ref="R268:U268"/>
    <mergeCell ref="R269:U269"/>
    <mergeCell ref="R270:U270"/>
    <mergeCell ref="R259:U259"/>
    <mergeCell ref="R260:U260"/>
    <mergeCell ref="R261:U261"/>
    <mergeCell ref="R262:U262"/>
    <mergeCell ref="R263:U263"/>
    <mergeCell ref="R264:U264"/>
    <mergeCell ref="R253:U253"/>
    <mergeCell ref="R254:U254"/>
    <mergeCell ref="R255:U255"/>
    <mergeCell ref="R256:U256"/>
    <mergeCell ref="R257:U257"/>
    <mergeCell ref="R258:U258"/>
    <mergeCell ref="R247:U247"/>
    <mergeCell ref="R248:U248"/>
    <mergeCell ref="R249:U249"/>
    <mergeCell ref="R250:U250"/>
    <mergeCell ref="R251:U251"/>
    <mergeCell ref="R252:U252"/>
    <mergeCell ref="R241:U241"/>
    <mergeCell ref="R242:U242"/>
    <mergeCell ref="R243:U243"/>
    <mergeCell ref="R244:U244"/>
    <mergeCell ref="R245:U245"/>
    <mergeCell ref="R246:U246"/>
    <mergeCell ref="R235:U235"/>
    <mergeCell ref="R236:U236"/>
    <mergeCell ref="R237:U237"/>
    <mergeCell ref="R238:U238"/>
    <mergeCell ref="R239:U239"/>
    <mergeCell ref="R240:U240"/>
    <mergeCell ref="R230:U230"/>
    <mergeCell ref="R231:U231"/>
    <mergeCell ref="R232:U232"/>
    <mergeCell ref="R233:U233"/>
    <mergeCell ref="R234:U234"/>
    <mergeCell ref="R227:V228"/>
    <mergeCell ref="W227:X228"/>
    <mergeCell ref="C228:C229"/>
    <mergeCell ref="D228:D229"/>
    <mergeCell ref="E228:E229"/>
    <mergeCell ref="F228:F229"/>
    <mergeCell ref="G228:G229"/>
    <mergeCell ref="H228:H229"/>
    <mergeCell ref="I228:I229"/>
    <mergeCell ref="J228:J229"/>
    <mergeCell ref="A226:B226"/>
    <mergeCell ref="C226:I226"/>
    <mergeCell ref="J226:Q226"/>
    <mergeCell ref="R226:X226"/>
    <mergeCell ref="A227:A229"/>
    <mergeCell ref="B227:B229"/>
    <mergeCell ref="C227:J227"/>
    <mergeCell ref="K227:M228"/>
    <mergeCell ref="N227:P228"/>
    <mergeCell ref="Q227:Q229"/>
    <mergeCell ref="R229:U229"/>
    <mergeCell ref="W218:W221"/>
    <mergeCell ref="X218:X221"/>
    <mergeCell ref="B220:B221"/>
    <mergeCell ref="A225:P225"/>
    <mergeCell ref="Q225:X225"/>
    <mergeCell ref="L218:L221"/>
    <mergeCell ref="M218:M221"/>
    <mergeCell ref="N218:N221"/>
    <mergeCell ref="O218:O221"/>
    <mergeCell ref="P218:P221"/>
    <mergeCell ref="Q218:Q221"/>
    <mergeCell ref="F218:F221"/>
    <mergeCell ref="G218:G221"/>
    <mergeCell ref="H218:H221"/>
    <mergeCell ref="I218:I221"/>
    <mergeCell ref="J218:J221"/>
    <mergeCell ref="K218:K221"/>
    <mergeCell ref="R213:U213"/>
    <mergeCell ref="R214:U214"/>
    <mergeCell ref="R215:U215"/>
    <mergeCell ref="R216:U216"/>
    <mergeCell ref="R217:U217"/>
    <mergeCell ref="A218:A221"/>
    <mergeCell ref="B218:B219"/>
    <mergeCell ref="C218:C221"/>
    <mergeCell ref="D218:D221"/>
    <mergeCell ref="E218:E221"/>
    <mergeCell ref="R218:T221"/>
    <mergeCell ref="U218:V221"/>
    <mergeCell ref="R207:U207"/>
    <mergeCell ref="R208:U208"/>
    <mergeCell ref="R209:U209"/>
    <mergeCell ref="R210:U210"/>
    <mergeCell ref="R211:U211"/>
    <mergeCell ref="R212:U212"/>
    <mergeCell ref="R201:U201"/>
    <mergeCell ref="R202:U202"/>
    <mergeCell ref="R203:U203"/>
    <mergeCell ref="R204:U204"/>
    <mergeCell ref="R205:U205"/>
    <mergeCell ref="R206:U206"/>
    <mergeCell ref="R195:U195"/>
    <mergeCell ref="R196:U196"/>
    <mergeCell ref="R197:U197"/>
    <mergeCell ref="R198:U198"/>
    <mergeCell ref="R199:U199"/>
    <mergeCell ref="R200:U200"/>
    <mergeCell ref="R189:U189"/>
    <mergeCell ref="R190:U190"/>
    <mergeCell ref="R191:U191"/>
    <mergeCell ref="R192:U192"/>
    <mergeCell ref="R193:U193"/>
    <mergeCell ref="R194:U194"/>
    <mergeCell ref="R183:U183"/>
    <mergeCell ref="R184:U184"/>
    <mergeCell ref="R185:U185"/>
    <mergeCell ref="R186:U186"/>
    <mergeCell ref="R187:U187"/>
    <mergeCell ref="R188:U188"/>
    <mergeCell ref="R177:U177"/>
    <mergeCell ref="R178:U178"/>
    <mergeCell ref="R179:U179"/>
    <mergeCell ref="R180:U180"/>
    <mergeCell ref="R181:U181"/>
    <mergeCell ref="R182:U182"/>
    <mergeCell ref="R172:U172"/>
    <mergeCell ref="R173:U173"/>
    <mergeCell ref="R174:U174"/>
    <mergeCell ref="R175:U175"/>
    <mergeCell ref="R176:U176"/>
    <mergeCell ref="R169:V170"/>
    <mergeCell ref="W169:X170"/>
    <mergeCell ref="C170:C171"/>
    <mergeCell ref="D170:D171"/>
    <mergeCell ref="E170:E171"/>
    <mergeCell ref="F170:F171"/>
    <mergeCell ref="G170:G171"/>
    <mergeCell ref="H170:H171"/>
    <mergeCell ref="I170:I171"/>
    <mergeCell ref="J170:J171"/>
    <mergeCell ref="A168:B168"/>
    <mergeCell ref="C168:I168"/>
    <mergeCell ref="J168:Q168"/>
    <mergeCell ref="R168:X168"/>
    <mergeCell ref="A169:A171"/>
    <mergeCell ref="B169:B171"/>
    <mergeCell ref="C169:J169"/>
    <mergeCell ref="K169:M170"/>
    <mergeCell ref="N169:P170"/>
    <mergeCell ref="Q169:Q171"/>
    <mergeCell ref="R171:U171"/>
    <mergeCell ref="W160:W163"/>
    <mergeCell ref="X160:X163"/>
    <mergeCell ref="B162:B163"/>
    <mergeCell ref="A167:P167"/>
    <mergeCell ref="Q167:X167"/>
    <mergeCell ref="L160:L163"/>
    <mergeCell ref="M160:M163"/>
    <mergeCell ref="N160:N163"/>
    <mergeCell ref="O160:O163"/>
    <mergeCell ref="P160:P163"/>
    <mergeCell ref="Q160:Q163"/>
    <mergeCell ref="F160:F163"/>
    <mergeCell ref="G160:G163"/>
    <mergeCell ref="H160:H163"/>
    <mergeCell ref="I160:I163"/>
    <mergeCell ref="J160:J163"/>
    <mergeCell ref="K160:K163"/>
    <mergeCell ref="R155:U155"/>
    <mergeCell ref="R156:U156"/>
    <mergeCell ref="R157:U157"/>
    <mergeCell ref="R158:U158"/>
    <mergeCell ref="R159:U159"/>
    <mergeCell ref="A160:A163"/>
    <mergeCell ref="B160:B161"/>
    <mergeCell ref="C160:C163"/>
    <mergeCell ref="D160:D163"/>
    <mergeCell ref="E160:E163"/>
    <mergeCell ref="R160:T163"/>
    <mergeCell ref="U160:V163"/>
    <mergeCell ref="R149:U149"/>
    <mergeCell ref="R150:U150"/>
    <mergeCell ref="R151:U151"/>
    <mergeCell ref="R152:U152"/>
    <mergeCell ref="R153:U153"/>
    <mergeCell ref="R154:U154"/>
    <mergeCell ref="R143:U143"/>
    <mergeCell ref="R144:U144"/>
    <mergeCell ref="R145:U145"/>
    <mergeCell ref="R146:U146"/>
    <mergeCell ref="R147:U147"/>
    <mergeCell ref="R148:U148"/>
    <mergeCell ref="R137:U137"/>
    <mergeCell ref="R138:U138"/>
    <mergeCell ref="R139:U139"/>
    <mergeCell ref="R140:U140"/>
    <mergeCell ref="R141:U141"/>
    <mergeCell ref="R142:U142"/>
    <mergeCell ref="R131:U131"/>
    <mergeCell ref="R132:U132"/>
    <mergeCell ref="R133:U133"/>
    <mergeCell ref="R134:U134"/>
    <mergeCell ref="R135:U135"/>
    <mergeCell ref="R136:U136"/>
    <mergeCell ref="R125:U125"/>
    <mergeCell ref="R126:U126"/>
    <mergeCell ref="R127:U127"/>
    <mergeCell ref="R128:U128"/>
    <mergeCell ref="R129:U129"/>
    <mergeCell ref="R130:U130"/>
    <mergeCell ref="R119:U119"/>
    <mergeCell ref="R120:U120"/>
    <mergeCell ref="R121:U121"/>
    <mergeCell ref="R122:U122"/>
    <mergeCell ref="R123:U123"/>
    <mergeCell ref="R124:U124"/>
    <mergeCell ref="R114:U114"/>
    <mergeCell ref="R115:U115"/>
    <mergeCell ref="R116:U116"/>
    <mergeCell ref="R117:U117"/>
    <mergeCell ref="R118:U118"/>
    <mergeCell ref="R111:V112"/>
    <mergeCell ref="W111:X112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A110:B110"/>
    <mergeCell ref="C110:I110"/>
    <mergeCell ref="J110:Q110"/>
    <mergeCell ref="R110:X110"/>
    <mergeCell ref="A111:A113"/>
    <mergeCell ref="B111:B113"/>
    <mergeCell ref="C111:J111"/>
    <mergeCell ref="K111:M112"/>
    <mergeCell ref="N111:P112"/>
    <mergeCell ref="Q111:Q113"/>
    <mergeCell ref="R113:U113"/>
    <mergeCell ref="W105:W108"/>
    <mergeCell ref="X105:X108"/>
    <mergeCell ref="B107:B108"/>
    <mergeCell ref="A109:P109"/>
    <mergeCell ref="Q109:X109"/>
    <mergeCell ref="L105:L108"/>
    <mergeCell ref="M105:M108"/>
    <mergeCell ref="N105:N108"/>
    <mergeCell ref="O105:O108"/>
    <mergeCell ref="P105:P108"/>
    <mergeCell ref="Q105:Q108"/>
    <mergeCell ref="F105:F108"/>
    <mergeCell ref="G105:G108"/>
    <mergeCell ref="H105:H108"/>
    <mergeCell ref="I105:I108"/>
    <mergeCell ref="J105:J108"/>
    <mergeCell ref="K105:K108"/>
    <mergeCell ref="R102:U102"/>
    <mergeCell ref="R103:U103"/>
    <mergeCell ref="R104:U104"/>
    <mergeCell ref="A105:A108"/>
    <mergeCell ref="B105:B106"/>
    <mergeCell ref="C105:C108"/>
    <mergeCell ref="D105:D108"/>
    <mergeCell ref="E105:E108"/>
    <mergeCell ref="R105:T108"/>
    <mergeCell ref="U105:V108"/>
    <mergeCell ref="R96:U96"/>
    <mergeCell ref="R97:U97"/>
    <mergeCell ref="R98:U98"/>
    <mergeCell ref="R99:U99"/>
    <mergeCell ref="R100:U100"/>
    <mergeCell ref="R101:U101"/>
    <mergeCell ref="R90:U90"/>
    <mergeCell ref="R91:U91"/>
    <mergeCell ref="R92:U92"/>
    <mergeCell ref="R93:U93"/>
    <mergeCell ref="R94:U94"/>
    <mergeCell ref="R95:U95"/>
    <mergeCell ref="R84:U84"/>
    <mergeCell ref="R85:U85"/>
    <mergeCell ref="R86:U86"/>
    <mergeCell ref="R87:U87"/>
    <mergeCell ref="R88:U88"/>
    <mergeCell ref="R89:U89"/>
    <mergeCell ref="R78:U78"/>
    <mergeCell ref="R79:U79"/>
    <mergeCell ref="R80:U80"/>
    <mergeCell ref="R81:U81"/>
    <mergeCell ref="R82:U82"/>
    <mergeCell ref="R83:U83"/>
    <mergeCell ref="R72:U72"/>
    <mergeCell ref="R73:U73"/>
    <mergeCell ref="R74:U74"/>
    <mergeCell ref="R75:U75"/>
    <mergeCell ref="R76:U76"/>
    <mergeCell ref="R77:U77"/>
    <mergeCell ref="R66:U66"/>
    <mergeCell ref="R67:U67"/>
    <mergeCell ref="R68:U68"/>
    <mergeCell ref="R69:U69"/>
    <mergeCell ref="R70:U70"/>
    <mergeCell ref="R71:U71"/>
    <mergeCell ref="R61:U61"/>
    <mergeCell ref="R62:U62"/>
    <mergeCell ref="R63:U63"/>
    <mergeCell ref="R64:U64"/>
    <mergeCell ref="R65:U65"/>
    <mergeCell ref="R58:V59"/>
    <mergeCell ref="W58:X59"/>
    <mergeCell ref="C59:C60"/>
    <mergeCell ref="D59:D60"/>
    <mergeCell ref="E59:E60"/>
    <mergeCell ref="F59:F60"/>
    <mergeCell ref="G59:G60"/>
    <mergeCell ref="H59:H60"/>
    <mergeCell ref="I59:I60"/>
    <mergeCell ref="J59:J60"/>
    <mergeCell ref="A57:B57"/>
    <mergeCell ref="C57:I57"/>
    <mergeCell ref="J57:Q57"/>
    <mergeCell ref="R57:X57"/>
    <mergeCell ref="A58:A60"/>
    <mergeCell ref="B58:B60"/>
    <mergeCell ref="C58:J58"/>
    <mergeCell ref="K58:M59"/>
    <mergeCell ref="N58:P59"/>
    <mergeCell ref="Q58:Q60"/>
    <mergeCell ref="R60:U60"/>
    <mergeCell ref="W52:W55"/>
    <mergeCell ref="X52:X55"/>
    <mergeCell ref="B54:B55"/>
    <mergeCell ref="A56:P56"/>
    <mergeCell ref="Q56:X56"/>
    <mergeCell ref="L52:L55"/>
    <mergeCell ref="M52:M55"/>
    <mergeCell ref="N52:N55"/>
    <mergeCell ref="O52:O55"/>
    <mergeCell ref="P52:P55"/>
    <mergeCell ref="Q52:Q55"/>
    <mergeCell ref="F52:F55"/>
    <mergeCell ref="G52:G55"/>
    <mergeCell ref="H52:H55"/>
    <mergeCell ref="I52:I55"/>
    <mergeCell ref="J52:J55"/>
    <mergeCell ref="K52:K55"/>
    <mergeCell ref="R47:U47"/>
    <mergeCell ref="R48:U48"/>
    <mergeCell ref="R49:U49"/>
    <mergeCell ref="R50:U50"/>
    <mergeCell ref="R51:U51"/>
    <mergeCell ref="A52:A55"/>
    <mergeCell ref="B52:B53"/>
    <mergeCell ref="C52:C55"/>
    <mergeCell ref="D52:D55"/>
    <mergeCell ref="E52:E55"/>
    <mergeCell ref="R52:T55"/>
    <mergeCell ref="U52:V55"/>
    <mergeCell ref="R41:U41"/>
    <mergeCell ref="R42:U42"/>
    <mergeCell ref="R43:U43"/>
    <mergeCell ref="R44:U44"/>
    <mergeCell ref="R45:U45"/>
    <mergeCell ref="R46:U46"/>
    <mergeCell ref="R35:U35"/>
    <mergeCell ref="R36:U36"/>
    <mergeCell ref="R37:U37"/>
    <mergeCell ref="R38:U38"/>
    <mergeCell ref="R39:U39"/>
    <mergeCell ref="R40:U40"/>
    <mergeCell ref="R29:U29"/>
    <mergeCell ref="R30:U30"/>
    <mergeCell ref="R31:U31"/>
    <mergeCell ref="R32:U32"/>
    <mergeCell ref="R33:U33"/>
    <mergeCell ref="R34:U34"/>
    <mergeCell ref="R23:U23"/>
    <mergeCell ref="R24:U24"/>
    <mergeCell ref="R25:U25"/>
    <mergeCell ref="R26:U26"/>
    <mergeCell ref="R27:U27"/>
    <mergeCell ref="R28:U28"/>
    <mergeCell ref="R17:U17"/>
    <mergeCell ref="R18:U18"/>
    <mergeCell ref="R19:U19"/>
    <mergeCell ref="R20:U20"/>
    <mergeCell ref="R21:U21"/>
    <mergeCell ref="R22:U22"/>
    <mergeCell ref="R11:U11"/>
    <mergeCell ref="R12:U12"/>
    <mergeCell ref="R13:U13"/>
    <mergeCell ref="R14:U14"/>
    <mergeCell ref="R15:U15"/>
    <mergeCell ref="R16:U16"/>
    <mergeCell ref="R6:U6"/>
    <mergeCell ref="R7:U7"/>
    <mergeCell ref="R8:U8"/>
    <mergeCell ref="R9:U9"/>
    <mergeCell ref="R10:U10"/>
    <mergeCell ref="R3:V4"/>
    <mergeCell ref="W3:X4"/>
    <mergeCell ref="C4:C5"/>
    <mergeCell ref="D4:D5"/>
    <mergeCell ref="E4:E5"/>
    <mergeCell ref="F4:F5"/>
    <mergeCell ref="G4:G5"/>
    <mergeCell ref="H4:H5"/>
    <mergeCell ref="I4:I5"/>
    <mergeCell ref="J4:J5"/>
    <mergeCell ref="A3:A5"/>
    <mergeCell ref="B3:B5"/>
    <mergeCell ref="C3:J3"/>
    <mergeCell ref="K3:M4"/>
    <mergeCell ref="N3:P4"/>
    <mergeCell ref="Q3:Q5"/>
    <mergeCell ref="A1:P1"/>
    <mergeCell ref="Q1:X1"/>
    <mergeCell ref="A2:B2"/>
    <mergeCell ref="C2:I2"/>
    <mergeCell ref="J2:Q2"/>
    <mergeCell ref="R2:X2"/>
    <mergeCell ref="R5:U5"/>
    <mergeCell ref="A283:P283"/>
    <mergeCell ref="Q283:X283"/>
    <mergeCell ref="A284:B284"/>
    <mergeCell ref="C284:I284"/>
    <mergeCell ref="J284:Q284"/>
    <mergeCell ref="R284:X284"/>
    <mergeCell ref="A285:A287"/>
    <mergeCell ref="B285:B287"/>
    <mergeCell ref="C285:J285"/>
    <mergeCell ref="K285:M286"/>
    <mergeCell ref="N285:P286"/>
    <mergeCell ref="Q285:Q287"/>
    <mergeCell ref="R285:V286"/>
    <mergeCell ref="W285:X286"/>
    <mergeCell ref="C286:C287"/>
    <mergeCell ref="D286:D287"/>
    <mergeCell ref="E286:E287"/>
    <mergeCell ref="F286:F287"/>
    <mergeCell ref="G286:G287"/>
    <mergeCell ref="H286:H287"/>
    <mergeCell ref="I286:I287"/>
    <mergeCell ref="J286:J287"/>
    <mergeCell ref="R287:U287"/>
    <mergeCell ref="R288:U288"/>
    <mergeCell ref="R289:U289"/>
    <mergeCell ref="R290:U290"/>
    <mergeCell ref="R291:U291"/>
    <mergeCell ref="R292:U292"/>
    <mergeCell ref="R293:U293"/>
    <mergeCell ref="R294:U294"/>
    <mergeCell ref="R295:U295"/>
    <mergeCell ref="R296:U296"/>
    <mergeCell ref="R297:U297"/>
    <mergeCell ref="R298:U298"/>
    <mergeCell ref="R299:U299"/>
    <mergeCell ref="R300:U300"/>
    <mergeCell ref="R301:U301"/>
    <mergeCell ref="R302:U302"/>
    <mergeCell ref="R303:U303"/>
    <mergeCell ref="R304:U304"/>
    <mergeCell ref="R305:U305"/>
    <mergeCell ref="R306:U306"/>
    <mergeCell ref="R307:U307"/>
    <mergeCell ref="R308:U308"/>
    <mergeCell ref="R309:U309"/>
    <mergeCell ref="R310:U310"/>
    <mergeCell ref="R311:U311"/>
    <mergeCell ref="R312:U312"/>
    <mergeCell ref="R313:U313"/>
    <mergeCell ref="R314:U314"/>
    <mergeCell ref="R315:U315"/>
    <mergeCell ref="R316:U316"/>
    <mergeCell ref="R317:U317"/>
    <mergeCell ref="R318:U318"/>
    <mergeCell ref="R319:U319"/>
    <mergeCell ref="R320:U320"/>
    <mergeCell ref="R321:U321"/>
    <mergeCell ref="R322:U322"/>
    <mergeCell ref="R323:U323"/>
    <mergeCell ref="R324:U324"/>
    <mergeCell ref="R325:U325"/>
    <mergeCell ref="R326:U326"/>
    <mergeCell ref="R327:U327"/>
    <mergeCell ref="R328:U328"/>
    <mergeCell ref="R329:U329"/>
    <mergeCell ref="R330:U330"/>
    <mergeCell ref="R331:U331"/>
    <mergeCell ref="R332:U332"/>
    <mergeCell ref="W334:W337"/>
    <mergeCell ref="X334:X337"/>
    <mergeCell ref="B336:B337"/>
    <mergeCell ref="R333:U333"/>
    <mergeCell ref="A334:A337"/>
    <mergeCell ref="B334:B335"/>
    <mergeCell ref="C334:C337"/>
    <mergeCell ref="D334:D337"/>
    <mergeCell ref="E334:E337"/>
    <mergeCell ref="F334:F337"/>
    <mergeCell ref="G334:G337"/>
    <mergeCell ref="H334:H337"/>
    <mergeCell ref="I334:I337"/>
    <mergeCell ref="J334:J337"/>
    <mergeCell ref="K334:K337"/>
    <mergeCell ref="L334:L337"/>
    <mergeCell ref="M334:M337"/>
    <mergeCell ref="N334:N337"/>
    <mergeCell ref="O334:O337"/>
    <mergeCell ref="P334:P337"/>
    <mergeCell ref="Q334:Q337"/>
    <mergeCell ref="R334:T337"/>
    <mergeCell ref="U334:V337"/>
  </mergeCells>
  <conditionalFormatting sqref="B39:B40">
    <cfRule type="containsText" priority="10" operator="containsText" text="ARZUAGA MENDOZA KAREN TATIANA">
      <formula>NOT(ISERROR(SEARCH("ARZUAGA MENDOZA KAREN TATIANA",B39)))</formula>
    </cfRule>
  </conditionalFormatting>
  <conditionalFormatting sqref="B114:B151">
    <cfRule type="containsText" priority="1" operator="containsText" text="ARZUAGA MENDOZA KAREN TATIANA">
      <formula>NOT(ISERROR(SEARCH("ARZUAGA MENDOZA KAREN TATIANA",B114)))</formula>
    </cfRule>
  </conditionalFormatting>
  <conditionalFormatting sqref="B289:B290 B293:B294">
    <cfRule type="containsText" priority="5" operator="containsText" text="ARZUAGA MENDOZA KAREN TATIANA">
      <formula>NOT(ISERROR(SEARCH("ARZUAGA MENDOZA KAREN TATIANA",B289)))</formula>
    </cfRule>
  </conditionalFormatting>
  <conditionalFormatting sqref="B308:B310">
    <cfRule type="containsText" priority="2" operator="containsText" text="ARZUAGA MENDOZA KAREN TATIANA">
      <formula>NOT(ISERROR(SEARCH("ARZUAGA MENDOZA KAREN TATIANA",B308)))</formula>
    </cfRule>
  </conditionalFormatting>
  <conditionalFormatting sqref="J6:J51">
    <cfRule type="cellIs" dxfId="64" priority="40" operator="greaterThan">
      <formula>64</formula>
    </cfRule>
    <cfRule type="cellIs" dxfId="63" priority="39" operator="lessThan">
      <formula>65</formula>
    </cfRule>
  </conditionalFormatting>
  <conditionalFormatting sqref="J61:J104">
    <cfRule type="cellIs" dxfId="62" priority="35" operator="greaterThan">
      <formula>64</formula>
    </cfRule>
    <cfRule type="cellIs" dxfId="61" priority="34" operator="lessThan">
      <formula>65</formula>
    </cfRule>
  </conditionalFormatting>
  <conditionalFormatting sqref="J114:J159">
    <cfRule type="cellIs" dxfId="60" priority="29" operator="lessThan">
      <formula>65</formula>
    </cfRule>
    <cfRule type="cellIs" dxfId="59" priority="30" operator="greaterThan">
      <formula>64</formula>
    </cfRule>
  </conditionalFormatting>
  <conditionalFormatting sqref="J172:J217">
    <cfRule type="cellIs" dxfId="58" priority="24" operator="lessThan">
      <formula>65</formula>
    </cfRule>
    <cfRule type="cellIs" dxfId="57" priority="25" operator="greaterThan">
      <formula>64</formula>
    </cfRule>
  </conditionalFormatting>
  <conditionalFormatting sqref="J230:J275">
    <cfRule type="cellIs" dxfId="56" priority="19" operator="lessThan">
      <formula>65</formula>
    </cfRule>
    <cfRule type="cellIs" dxfId="55" priority="20" operator="greaterThan">
      <formula>64</formula>
    </cfRule>
  </conditionalFormatting>
  <conditionalFormatting sqref="J288:J333">
    <cfRule type="cellIs" dxfId="54" priority="14" operator="lessThan">
      <formula>65</formula>
    </cfRule>
    <cfRule type="cellIs" dxfId="53" priority="15" operator="greaterThan">
      <formula>64</formula>
    </cfRule>
  </conditionalFormatting>
  <conditionalFormatting sqref="M6:M51 P6:P51">
    <cfRule type="cellIs" dxfId="52" priority="43" operator="between">
      <formula>0</formula>
      <formula>100</formula>
    </cfRule>
  </conditionalFormatting>
  <conditionalFormatting sqref="M61:M104 P61:P104">
    <cfRule type="cellIs" dxfId="51" priority="38" operator="between">
      <formula>0</formula>
      <formula>100</formula>
    </cfRule>
  </conditionalFormatting>
  <conditionalFormatting sqref="M114:M159 P114:P159">
    <cfRule type="cellIs" dxfId="50" priority="33" operator="between">
      <formula>0</formula>
      <formula>100</formula>
    </cfRule>
  </conditionalFormatting>
  <conditionalFormatting sqref="M172:M217 P172:P217">
    <cfRule type="cellIs" dxfId="49" priority="28" operator="between">
      <formula>0</formula>
      <formula>100</formula>
    </cfRule>
  </conditionalFormatting>
  <conditionalFormatting sqref="M230:M275 P230:P275">
    <cfRule type="cellIs" dxfId="48" priority="23" operator="between">
      <formula>0</formula>
      <formula>100</formula>
    </cfRule>
  </conditionalFormatting>
  <conditionalFormatting sqref="M288:M333 P288:P333">
    <cfRule type="cellIs" dxfId="47" priority="18" operator="between">
      <formula>0</formula>
      <formula>100</formula>
    </cfRule>
  </conditionalFormatting>
  <conditionalFormatting sqref="V6:V51">
    <cfRule type="cellIs" dxfId="46" priority="41" operator="between">
      <formula>65</formula>
      <formula>100</formula>
    </cfRule>
    <cfRule type="cellIs" dxfId="45" priority="42" operator="lessThan">
      <formula>65</formula>
    </cfRule>
  </conditionalFormatting>
  <conditionalFormatting sqref="V61:V104">
    <cfRule type="cellIs" dxfId="44" priority="36" operator="between">
      <formula>65</formula>
      <formula>100</formula>
    </cfRule>
    <cfRule type="cellIs" dxfId="43" priority="37" operator="lessThan">
      <formula>65</formula>
    </cfRule>
  </conditionalFormatting>
  <conditionalFormatting sqref="V114:V159">
    <cfRule type="cellIs" dxfId="42" priority="31" operator="between">
      <formula>65</formula>
      <formula>100</formula>
    </cfRule>
    <cfRule type="cellIs" dxfId="41" priority="32" operator="lessThan">
      <formula>65</formula>
    </cfRule>
  </conditionalFormatting>
  <conditionalFormatting sqref="V172:V217">
    <cfRule type="cellIs" dxfId="40" priority="26" operator="between">
      <formula>65</formula>
      <formula>100</formula>
    </cfRule>
    <cfRule type="cellIs" dxfId="39" priority="27" operator="lessThan">
      <formula>65</formula>
    </cfRule>
  </conditionalFormatting>
  <conditionalFormatting sqref="V230:V275">
    <cfRule type="cellIs" dxfId="38" priority="22" operator="lessThan">
      <formula>65</formula>
    </cfRule>
    <cfRule type="cellIs" dxfId="37" priority="21" operator="between">
      <formula>65</formula>
      <formula>100</formula>
    </cfRule>
  </conditionalFormatting>
  <conditionalFormatting sqref="V288:V333">
    <cfRule type="cellIs" dxfId="36" priority="16" operator="between">
      <formula>65</formula>
      <formula>100</formula>
    </cfRule>
    <cfRule type="cellIs" dxfId="35" priority="17" operator="lessThan">
      <formula>65</formula>
    </cfRule>
  </conditionalFormatting>
  <pageMargins left="0.7" right="0.7" top="0.75" bottom="0.75" header="0" footer="0"/>
  <pageSetup paperSize="5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787"/>
  <sheetViews>
    <sheetView showGridLines="0" showRowColHeaders="0" showRuler="0" topLeftCell="A300" zoomScale="70" zoomScaleNormal="70" workbookViewId="0">
      <selection activeCell="I297" sqref="I297"/>
    </sheetView>
  </sheetViews>
  <sheetFormatPr baseColWidth="10" defaultColWidth="14.42578125" defaultRowHeight="15" customHeight="1" x14ac:dyDescent="0.25"/>
  <cols>
    <col min="1" max="1" width="3.28515625" style="1" customWidth="1"/>
    <col min="2" max="2" width="39.85546875" style="37" customWidth="1"/>
    <col min="3" max="3" width="4.28515625" style="1" customWidth="1"/>
    <col min="4" max="8" width="4" style="1" customWidth="1"/>
    <col min="9" max="9" width="5" style="1" customWidth="1"/>
    <col min="10" max="10" width="4.28515625" style="1" customWidth="1"/>
    <col min="11" max="11" width="3.7109375" style="1" customWidth="1"/>
    <col min="12" max="12" width="3.5703125" style="1" customWidth="1"/>
    <col min="13" max="13" width="5.140625" style="1" customWidth="1"/>
    <col min="14" max="14" width="4.5703125" style="1" customWidth="1"/>
    <col min="15" max="15" width="3.5703125" style="1" customWidth="1"/>
    <col min="16" max="16" width="5.42578125" style="1" customWidth="1"/>
    <col min="17" max="19" width="3.5703125" style="1" customWidth="1"/>
    <col min="20" max="20" width="4" style="1" customWidth="1"/>
    <col min="21" max="21" width="3.5703125" style="1" customWidth="1"/>
    <col min="22" max="22" width="6.28515625" style="1" customWidth="1"/>
    <col min="23" max="23" width="0.140625" style="1" customWidth="1"/>
    <col min="24" max="24" width="0.5703125" style="1" hidden="1" customWidth="1"/>
    <col min="25" max="27" width="4.140625" style="1" customWidth="1"/>
    <col min="28" max="16384" width="14.42578125" style="1"/>
  </cols>
  <sheetData>
    <row r="1" spans="1:24" ht="87.75" customHeight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2"/>
      <c r="Q1" s="310"/>
      <c r="R1" s="228"/>
      <c r="S1" s="228"/>
      <c r="T1" s="228"/>
      <c r="U1" s="228"/>
      <c r="V1" s="228"/>
      <c r="W1" s="228"/>
      <c r="X1" s="229"/>
    </row>
    <row r="2" spans="1:24" ht="21.75" customHeight="1" thickBot="1" x14ac:dyDescent="0.3">
      <c r="A2" s="218" t="s">
        <v>281</v>
      </c>
      <c r="B2" s="219"/>
      <c r="C2" s="220" t="s">
        <v>931</v>
      </c>
      <c r="D2" s="221"/>
      <c r="E2" s="221"/>
      <c r="F2" s="221"/>
      <c r="G2" s="221"/>
      <c r="H2" s="221"/>
      <c r="I2" s="222"/>
      <c r="J2" s="223" t="s">
        <v>20</v>
      </c>
      <c r="K2" s="224"/>
      <c r="L2" s="224"/>
      <c r="M2" s="224"/>
      <c r="N2" s="225"/>
      <c r="O2" s="225"/>
      <c r="P2" s="225"/>
      <c r="Q2" s="226"/>
      <c r="R2" s="227" t="s">
        <v>149</v>
      </c>
      <c r="S2" s="228"/>
      <c r="T2" s="228"/>
      <c r="U2" s="228"/>
      <c r="V2" s="228"/>
      <c r="W2" s="228"/>
      <c r="X2" s="229"/>
    </row>
    <row r="3" spans="1:24" ht="20.25" customHeight="1" x14ac:dyDescent="0.25">
      <c r="A3" s="352" t="s">
        <v>0</v>
      </c>
      <c r="B3" s="355" t="s">
        <v>1</v>
      </c>
      <c r="C3" s="358" t="s">
        <v>12</v>
      </c>
      <c r="D3" s="235"/>
      <c r="E3" s="235"/>
      <c r="F3" s="235"/>
      <c r="G3" s="235"/>
      <c r="H3" s="235"/>
      <c r="I3" s="235"/>
      <c r="J3" s="235"/>
      <c r="K3" s="236" t="s">
        <v>13</v>
      </c>
      <c r="L3" s="237"/>
      <c r="M3" s="237"/>
      <c r="N3" s="240" t="s">
        <v>15</v>
      </c>
      <c r="O3" s="240"/>
      <c r="P3" s="240"/>
      <c r="Q3" s="241" t="s">
        <v>4</v>
      </c>
      <c r="R3" s="362" t="s">
        <v>11</v>
      </c>
      <c r="S3" s="362"/>
      <c r="T3" s="362"/>
      <c r="U3" s="362"/>
      <c r="V3" s="362"/>
      <c r="W3" s="246" t="s">
        <v>2</v>
      </c>
      <c r="X3" s="247"/>
    </row>
    <row r="4" spans="1:24" ht="15" customHeight="1" x14ac:dyDescent="0.25">
      <c r="A4" s="353"/>
      <c r="B4" s="356"/>
      <c r="C4" s="364" t="s">
        <v>6</v>
      </c>
      <c r="D4" s="248" t="s">
        <v>17</v>
      </c>
      <c r="E4" s="248" t="s">
        <v>5</v>
      </c>
      <c r="F4" s="250"/>
      <c r="G4" s="250"/>
      <c r="H4" s="250"/>
      <c r="I4" s="251" t="s">
        <v>16</v>
      </c>
      <c r="J4" s="350" t="s">
        <v>14</v>
      </c>
      <c r="K4" s="238"/>
      <c r="L4" s="239"/>
      <c r="M4" s="239"/>
      <c r="N4" s="240"/>
      <c r="O4" s="240"/>
      <c r="P4" s="240"/>
      <c r="Q4" s="242"/>
      <c r="R4" s="363"/>
      <c r="S4" s="363"/>
      <c r="T4" s="363"/>
      <c r="U4" s="363"/>
      <c r="V4" s="363"/>
      <c r="W4" s="187"/>
      <c r="X4" s="187"/>
    </row>
    <row r="5" spans="1:24" ht="49.5" customHeight="1" thickBot="1" x14ac:dyDescent="0.3">
      <c r="A5" s="354"/>
      <c r="B5" s="357"/>
      <c r="C5" s="365"/>
      <c r="D5" s="249"/>
      <c r="E5" s="249"/>
      <c r="F5" s="249"/>
      <c r="G5" s="249"/>
      <c r="H5" s="249"/>
      <c r="I5" s="252"/>
      <c r="J5" s="366"/>
      <c r="K5" s="2" t="s">
        <v>9</v>
      </c>
      <c r="L5" s="2" t="s">
        <v>10</v>
      </c>
      <c r="M5" s="3" t="s">
        <v>3</v>
      </c>
      <c r="N5" s="2" t="s">
        <v>9</v>
      </c>
      <c r="O5" s="2" t="s">
        <v>10</v>
      </c>
      <c r="P5" s="4" t="s">
        <v>3</v>
      </c>
      <c r="Q5" s="243"/>
      <c r="R5" s="198" t="s">
        <v>7</v>
      </c>
      <c r="S5" s="199"/>
      <c r="T5" s="199"/>
      <c r="U5" s="200"/>
      <c r="V5" s="12" t="s">
        <v>8</v>
      </c>
      <c r="W5" s="5">
        <v>1</v>
      </c>
      <c r="X5" s="5">
        <v>2</v>
      </c>
    </row>
    <row r="6" spans="1:24" x14ac:dyDescent="0.25">
      <c r="A6" s="38">
        <v>1</v>
      </c>
      <c r="B6" s="69" t="s">
        <v>557</v>
      </c>
      <c r="C6" s="26"/>
      <c r="D6" s="8"/>
      <c r="E6" s="8"/>
      <c r="F6" s="8"/>
      <c r="G6" s="8"/>
      <c r="H6" s="8"/>
      <c r="I6" s="9"/>
      <c r="J6" s="15" t="e">
        <f>((AVERAGE(C6:H6))*72%)+I6*8%</f>
        <v>#DIV/0!</v>
      </c>
      <c r="K6" s="8"/>
      <c r="L6" s="8"/>
      <c r="M6" s="15" t="e">
        <f>(AVERAGE(K6:L6))*10%</f>
        <v>#DIV/0!</v>
      </c>
      <c r="N6" s="9"/>
      <c r="O6" s="9"/>
      <c r="P6" s="15" t="e">
        <f>(AVERAGE(N6:O6))*10%</f>
        <v>#DIV/0!</v>
      </c>
      <c r="Q6" s="8"/>
      <c r="R6" s="359" t="e">
        <f>IF(V6&lt;65,"BAJO",IF(V6&lt;=79,"BASICO",IF(V6&lt;=89,"ALTO",IF(V6&lt;=100,"SUPERIOR"))))</f>
        <v>#DIV/0!</v>
      </c>
      <c r="S6" s="360"/>
      <c r="T6" s="360"/>
      <c r="U6" s="361"/>
      <c r="V6" s="14" t="e">
        <f>J6+M6+P6</f>
        <v>#DIV/0!</v>
      </c>
      <c r="W6" s="10"/>
      <c r="X6" s="10"/>
    </row>
    <row r="7" spans="1:24" x14ac:dyDescent="0.25">
      <c r="A7" s="38">
        <v>2</v>
      </c>
      <c r="B7" s="67" t="s">
        <v>558</v>
      </c>
      <c r="C7" s="26"/>
      <c r="D7" s="8"/>
      <c r="E7" s="8"/>
      <c r="F7" s="8"/>
      <c r="G7" s="8"/>
      <c r="H7" s="8"/>
      <c r="I7" s="9"/>
      <c r="J7" s="15" t="e">
        <f t="shared" ref="J7:J50" si="0">((AVERAGE(C7:H7))*72%)+I7*8%</f>
        <v>#DIV/0!</v>
      </c>
      <c r="K7" s="8"/>
      <c r="L7" s="8"/>
      <c r="M7" s="15" t="e">
        <f t="shared" ref="M7:M50" si="1">(AVERAGE(K7:L7))*10%</f>
        <v>#DIV/0!</v>
      </c>
      <c r="N7" s="8"/>
      <c r="O7" s="8"/>
      <c r="P7" s="15" t="e">
        <f t="shared" ref="P7:P50" si="2">(AVERAGE(N7:O7))*10%</f>
        <v>#DIV/0!</v>
      </c>
      <c r="Q7" s="11"/>
      <c r="R7" s="359" t="e">
        <f t="shared" ref="R7:R50" si="3">IF(V7&lt;65,"BAJO",IF(V7&lt;=79,"BASICO",IF(V7&lt;=89,"ALTO",IF(V7&lt;=100,"SUPERIOR"))))</f>
        <v>#DIV/0!</v>
      </c>
      <c r="S7" s="360"/>
      <c r="T7" s="360"/>
      <c r="U7" s="361"/>
      <c r="V7" s="14" t="e">
        <f t="shared" ref="V7:V50" si="4">J7+M7+P7</f>
        <v>#DIV/0!</v>
      </c>
      <c r="W7" s="10"/>
      <c r="X7" s="10"/>
    </row>
    <row r="8" spans="1:24" x14ac:dyDescent="0.25">
      <c r="A8" s="38">
        <v>3</v>
      </c>
      <c r="B8" s="67" t="s">
        <v>559</v>
      </c>
      <c r="C8" s="26"/>
      <c r="D8" s="8"/>
      <c r="E8" s="8"/>
      <c r="F8" s="8"/>
      <c r="G8" s="8"/>
      <c r="H8" s="8"/>
      <c r="I8" s="9"/>
      <c r="J8" s="15" t="e">
        <f t="shared" si="0"/>
        <v>#DIV/0!</v>
      </c>
      <c r="K8" s="8"/>
      <c r="L8" s="8"/>
      <c r="M8" s="15" t="e">
        <f t="shared" si="1"/>
        <v>#DIV/0!</v>
      </c>
      <c r="N8" s="8"/>
      <c r="O8" s="8"/>
      <c r="P8" s="15" t="e">
        <f t="shared" si="2"/>
        <v>#DIV/0!</v>
      </c>
      <c r="Q8" s="11"/>
      <c r="R8" s="359" t="e">
        <f t="shared" si="3"/>
        <v>#DIV/0!</v>
      </c>
      <c r="S8" s="360"/>
      <c r="T8" s="360"/>
      <c r="U8" s="361"/>
      <c r="V8" s="14" t="e">
        <f t="shared" si="4"/>
        <v>#DIV/0!</v>
      </c>
      <c r="W8" s="10"/>
      <c r="X8" s="10"/>
    </row>
    <row r="9" spans="1:24" x14ac:dyDescent="0.25">
      <c r="A9" s="38">
        <v>4</v>
      </c>
      <c r="B9" s="67" t="s">
        <v>560</v>
      </c>
      <c r="C9" s="26"/>
      <c r="D9" s="8"/>
      <c r="E9" s="8"/>
      <c r="F9" s="8"/>
      <c r="G9" s="8"/>
      <c r="H9" s="8"/>
      <c r="I9" s="8"/>
      <c r="J9" s="15" t="e">
        <f t="shared" si="0"/>
        <v>#DIV/0!</v>
      </c>
      <c r="K9" s="8"/>
      <c r="L9" s="8"/>
      <c r="M9" s="15" t="e">
        <f t="shared" si="1"/>
        <v>#DIV/0!</v>
      </c>
      <c r="N9" s="8"/>
      <c r="O9" s="8"/>
      <c r="P9" s="15" t="e">
        <f t="shared" si="2"/>
        <v>#DIV/0!</v>
      </c>
      <c r="Q9" s="11"/>
      <c r="R9" s="359" t="e">
        <f t="shared" si="3"/>
        <v>#DIV/0!</v>
      </c>
      <c r="S9" s="360"/>
      <c r="T9" s="360"/>
      <c r="U9" s="361"/>
      <c r="V9" s="14" t="e">
        <f t="shared" si="4"/>
        <v>#DIV/0!</v>
      </c>
      <c r="W9" s="10"/>
      <c r="X9" s="10"/>
    </row>
    <row r="10" spans="1:24" x14ac:dyDescent="0.25">
      <c r="A10" s="38">
        <v>5</v>
      </c>
      <c r="B10" s="67" t="s">
        <v>561</v>
      </c>
      <c r="C10" s="26"/>
      <c r="D10" s="8"/>
      <c r="E10" s="8"/>
      <c r="F10" s="8"/>
      <c r="G10" s="8"/>
      <c r="H10" s="8"/>
      <c r="I10" s="8"/>
      <c r="J10" s="15" t="e">
        <f t="shared" si="0"/>
        <v>#DIV/0!</v>
      </c>
      <c r="K10" s="8"/>
      <c r="L10" s="8"/>
      <c r="M10" s="15" t="e">
        <f t="shared" si="1"/>
        <v>#DIV/0!</v>
      </c>
      <c r="N10" s="8"/>
      <c r="O10" s="8"/>
      <c r="P10" s="15" t="e">
        <f t="shared" si="2"/>
        <v>#DIV/0!</v>
      </c>
      <c r="Q10" s="10"/>
      <c r="R10" s="359" t="e">
        <f t="shared" si="3"/>
        <v>#DIV/0!</v>
      </c>
      <c r="S10" s="360"/>
      <c r="T10" s="360"/>
      <c r="U10" s="361"/>
      <c r="V10" s="14" t="e">
        <f t="shared" si="4"/>
        <v>#DIV/0!</v>
      </c>
      <c r="W10" s="10"/>
      <c r="X10" s="10"/>
    </row>
    <row r="11" spans="1:24" x14ac:dyDescent="0.25">
      <c r="A11" s="38">
        <v>6</v>
      </c>
      <c r="B11" s="67" t="s">
        <v>562</v>
      </c>
      <c r="C11" s="26"/>
      <c r="D11" s="8"/>
      <c r="E11" s="8"/>
      <c r="F11" s="8"/>
      <c r="G11" s="8"/>
      <c r="H11" s="8"/>
      <c r="I11" s="8"/>
      <c r="J11" s="15" t="e">
        <f t="shared" si="0"/>
        <v>#DIV/0!</v>
      </c>
      <c r="K11" s="8"/>
      <c r="L11" s="8"/>
      <c r="M11" s="15" t="e">
        <f t="shared" si="1"/>
        <v>#DIV/0!</v>
      </c>
      <c r="N11" s="8"/>
      <c r="O11" s="8"/>
      <c r="P11" s="15" t="e">
        <f t="shared" si="2"/>
        <v>#DIV/0!</v>
      </c>
      <c r="Q11" s="10"/>
      <c r="R11" s="359" t="e">
        <f t="shared" si="3"/>
        <v>#DIV/0!</v>
      </c>
      <c r="S11" s="360"/>
      <c r="T11" s="360"/>
      <c r="U11" s="361"/>
      <c r="V11" s="14" t="e">
        <f t="shared" si="4"/>
        <v>#DIV/0!</v>
      </c>
      <c r="W11" s="10"/>
      <c r="X11" s="10"/>
    </row>
    <row r="12" spans="1:24" x14ac:dyDescent="0.25">
      <c r="A12" s="38">
        <v>7</v>
      </c>
      <c r="B12" s="67" t="s">
        <v>563</v>
      </c>
      <c r="C12" s="26"/>
      <c r="D12" s="8"/>
      <c r="E12" s="8"/>
      <c r="F12" s="8"/>
      <c r="G12" s="8"/>
      <c r="H12" s="8"/>
      <c r="I12" s="8"/>
      <c r="J12" s="15" t="e">
        <f t="shared" si="0"/>
        <v>#DIV/0!</v>
      </c>
      <c r="K12" s="8"/>
      <c r="L12" s="8"/>
      <c r="M12" s="15" t="e">
        <f t="shared" si="1"/>
        <v>#DIV/0!</v>
      </c>
      <c r="N12" s="8"/>
      <c r="O12" s="8"/>
      <c r="P12" s="15" t="e">
        <f t="shared" si="2"/>
        <v>#DIV/0!</v>
      </c>
      <c r="Q12" s="10"/>
      <c r="R12" s="359" t="e">
        <f t="shared" si="3"/>
        <v>#DIV/0!</v>
      </c>
      <c r="S12" s="360"/>
      <c r="T12" s="360"/>
      <c r="U12" s="361"/>
      <c r="V12" s="14" t="e">
        <f t="shared" si="4"/>
        <v>#DIV/0!</v>
      </c>
      <c r="W12" s="10"/>
      <c r="X12" s="10"/>
    </row>
    <row r="13" spans="1:24" x14ac:dyDescent="0.25">
      <c r="A13" s="38">
        <v>8</v>
      </c>
      <c r="B13" s="67" t="s">
        <v>564</v>
      </c>
      <c r="C13" s="26"/>
      <c r="D13" s="8"/>
      <c r="E13" s="8"/>
      <c r="F13" s="8"/>
      <c r="G13" s="8"/>
      <c r="H13" s="8"/>
      <c r="I13" s="8"/>
      <c r="J13" s="15" t="e">
        <f t="shared" si="0"/>
        <v>#DIV/0!</v>
      </c>
      <c r="K13" s="8"/>
      <c r="L13" s="8"/>
      <c r="M13" s="15" t="e">
        <f t="shared" si="1"/>
        <v>#DIV/0!</v>
      </c>
      <c r="N13" s="8"/>
      <c r="O13" s="8"/>
      <c r="P13" s="15" t="e">
        <f t="shared" si="2"/>
        <v>#DIV/0!</v>
      </c>
      <c r="Q13" s="10"/>
      <c r="R13" s="359" t="e">
        <f t="shared" si="3"/>
        <v>#DIV/0!</v>
      </c>
      <c r="S13" s="360"/>
      <c r="T13" s="360"/>
      <c r="U13" s="361"/>
      <c r="V13" s="14" t="e">
        <f t="shared" si="4"/>
        <v>#DIV/0!</v>
      </c>
      <c r="W13" s="10"/>
      <c r="X13" s="10"/>
    </row>
    <row r="14" spans="1:24" x14ac:dyDescent="0.25">
      <c r="A14" s="38">
        <v>9</v>
      </c>
      <c r="B14" s="67" t="s">
        <v>565</v>
      </c>
      <c r="C14" s="26"/>
      <c r="D14" s="8"/>
      <c r="E14" s="8"/>
      <c r="F14" s="8"/>
      <c r="G14" s="8"/>
      <c r="H14" s="8"/>
      <c r="I14" s="8"/>
      <c r="J14" s="15" t="e">
        <f t="shared" si="0"/>
        <v>#DIV/0!</v>
      </c>
      <c r="K14" s="8"/>
      <c r="L14" s="8"/>
      <c r="M14" s="15" t="e">
        <f t="shared" si="1"/>
        <v>#DIV/0!</v>
      </c>
      <c r="N14" s="8"/>
      <c r="O14" s="8"/>
      <c r="P14" s="15" t="e">
        <f t="shared" si="2"/>
        <v>#DIV/0!</v>
      </c>
      <c r="Q14" s="10"/>
      <c r="R14" s="359" t="e">
        <f t="shared" si="3"/>
        <v>#DIV/0!</v>
      </c>
      <c r="S14" s="360"/>
      <c r="T14" s="360"/>
      <c r="U14" s="361"/>
      <c r="V14" s="14" t="e">
        <f t="shared" si="4"/>
        <v>#DIV/0!</v>
      </c>
      <c r="W14" s="10"/>
      <c r="X14" s="10"/>
    </row>
    <row r="15" spans="1:24" x14ac:dyDescent="0.25">
      <c r="A15" s="38">
        <v>10</v>
      </c>
      <c r="B15" s="67" t="s">
        <v>566</v>
      </c>
      <c r="C15" s="26"/>
      <c r="D15" s="8"/>
      <c r="E15" s="8"/>
      <c r="F15" s="8"/>
      <c r="G15" s="8"/>
      <c r="H15" s="8"/>
      <c r="I15" s="8"/>
      <c r="J15" s="15" t="e">
        <f t="shared" si="0"/>
        <v>#DIV/0!</v>
      </c>
      <c r="K15" s="8"/>
      <c r="L15" s="8"/>
      <c r="M15" s="15" t="e">
        <f t="shared" si="1"/>
        <v>#DIV/0!</v>
      </c>
      <c r="N15" s="8"/>
      <c r="O15" s="8"/>
      <c r="P15" s="15" t="e">
        <f t="shared" si="2"/>
        <v>#DIV/0!</v>
      </c>
      <c r="Q15" s="10"/>
      <c r="R15" s="359" t="e">
        <f t="shared" si="3"/>
        <v>#DIV/0!</v>
      </c>
      <c r="S15" s="360"/>
      <c r="T15" s="360"/>
      <c r="U15" s="361"/>
      <c r="V15" s="14" t="e">
        <f t="shared" si="4"/>
        <v>#DIV/0!</v>
      </c>
      <c r="W15" s="10"/>
      <c r="X15" s="10"/>
    </row>
    <row r="16" spans="1:24" x14ac:dyDescent="0.25">
      <c r="A16" s="38">
        <v>11</v>
      </c>
      <c r="B16" s="67" t="s">
        <v>567</v>
      </c>
      <c r="C16" s="26"/>
      <c r="D16" s="8"/>
      <c r="E16" s="8"/>
      <c r="F16" s="8"/>
      <c r="G16" s="8"/>
      <c r="H16" s="8"/>
      <c r="I16" s="8"/>
      <c r="J16" s="15" t="e">
        <f t="shared" si="0"/>
        <v>#DIV/0!</v>
      </c>
      <c r="K16" s="8"/>
      <c r="L16" s="8"/>
      <c r="M16" s="15" t="e">
        <f t="shared" si="1"/>
        <v>#DIV/0!</v>
      </c>
      <c r="N16" s="8"/>
      <c r="O16" s="8"/>
      <c r="P16" s="15" t="e">
        <f t="shared" si="2"/>
        <v>#DIV/0!</v>
      </c>
      <c r="Q16" s="10"/>
      <c r="R16" s="359" t="e">
        <f t="shared" si="3"/>
        <v>#DIV/0!</v>
      </c>
      <c r="S16" s="360"/>
      <c r="T16" s="360"/>
      <c r="U16" s="361"/>
      <c r="V16" s="14" t="e">
        <f t="shared" si="4"/>
        <v>#DIV/0!</v>
      </c>
      <c r="W16" s="10"/>
      <c r="X16" s="10"/>
    </row>
    <row r="17" spans="1:24" x14ac:dyDescent="0.25">
      <c r="A17" s="38">
        <v>12</v>
      </c>
      <c r="B17" s="67" t="s">
        <v>568</v>
      </c>
      <c r="C17" s="26"/>
      <c r="D17" s="8"/>
      <c r="E17" s="8"/>
      <c r="F17" s="8"/>
      <c r="G17" s="8"/>
      <c r="H17" s="8"/>
      <c r="I17" s="8"/>
      <c r="J17" s="15" t="e">
        <f t="shared" si="0"/>
        <v>#DIV/0!</v>
      </c>
      <c r="K17" s="8"/>
      <c r="L17" s="8"/>
      <c r="M17" s="15" t="e">
        <f t="shared" si="1"/>
        <v>#DIV/0!</v>
      </c>
      <c r="N17" s="8"/>
      <c r="O17" s="8"/>
      <c r="P17" s="15" t="e">
        <f t="shared" si="2"/>
        <v>#DIV/0!</v>
      </c>
      <c r="Q17" s="10"/>
      <c r="R17" s="359" t="e">
        <f t="shared" si="3"/>
        <v>#DIV/0!</v>
      </c>
      <c r="S17" s="360"/>
      <c r="T17" s="360"/>
      <c r="U17" s="361"/>
      <c r="V17" s="14" t="e">
        <f t="shared" si="4"/>
        <v>#DIV/0!</v>
      </c>
      <c r="W17" s="10"/>
      <c r="X17" s="10"/>
    </row>
    <row r="18" spans="1:24" x14ac:dyDescent="0.25">
      <c r="A18" s="38">
        <v>13</v>
      </c>
      <c r="B18" s="67" t="s">
        <v>569</v>
      </c>
      <c r="C18" s="26"/>
      <c r="D18" s="8"/>
      <c r="E18" s="8"/>
      <c r="F18" s="8"/>
      <c r="G18" s="8"/>
      <c r="H18" s="8"/>
      <c r="I18" s="8"/>
      <c r="J18" s="15" t="e">
        <f t="shared" si="0"/>
        <v>#DIV/0!</v>
      </c>
      <c r="K18" s="8"/>
      <c r="L18" s="8"/>
      <c r="M18" s="15" t="e">
        <f t="shared" si="1"/>
        <v>#DIV/0!</v>
      </c>
      <c r="N18" s="8"/>
      <c r="O18" s="8"/>
      <c r="P18" s="15" t="e">
        <f t="shared" si="2"/>
        <v>#DIV/0!</v>
      </c>
      <c r="Q18" s="10"/>
      <c r="R18" s="359" t="e">
        <f t="shared" si="3"/>
        <v>#DIV/0!</v>
      </c>
      <c r="S18" s="360"/>
      <c r="T18" s="360"/>
      <c r="U18" s="361"/>
      <c r="V18" s="14" t="e">
        <f t="shared" si="4"/>
        <v>#DIV/0!</v>
      </c>
      <c r="W18" s="10"/>
      <c r="X18" s="10"/>
    </row>
    <row r="19" spans="1:24" x14ac:dyDescent="0.25">
      <c r="A19" s="38">
        <v>14</v>
      </c>
      <c r="B19" s="67" t="s">
        <v>570</v>
      </c>
      <c r="C19" s="26"/>
      <c r="D19" s="8"/>
      <c r="E19" s="8"/>
      <c r="F19" s="8"/>
      <c r="G19" s="8"/>
      <c r="H19" s="8"/>
      <c r="I19" s="8"/>
      <c r="J19" s="15" t="e">
        <f t="shared" si="0"/>
        <v>#DIV/0!</v>
      </c>
      <c r="K19" s="8"/>
      <c r="L19" s="8"/>
      <c r="M19" s="15" t="e">
        <f t="shared" si="1"/>
        <v>#DIV/0!</v>
      </c>
      <c r="N19" s="8"/>
      <c r="O19" s="8"/>
      <c r="P19" s="15" t="e">
        <f t="shared" si="2"/>
        <v>#DIV/0!</v>
      </c>
      <c r="Q19" s="10"/>
      <c r="R19" s="359" t="e">
        <f t="shared" si="3"/>
        <v>#DIV/0!</v>
      </c>
      <c r="S19" s="360"/>
      <c r="T19" s="360"/>
      <c r="U19" s="361"/>
      <c r="V19" s="14" t="e">
        <f t="shared" si="4"/>
        <v>#DIV/0!</v>
      </c>
      <c r="W19" s="10"/>
      <c r="X19" s="10"/>
    </row>
    <row r="20" spans="1:24" x14ac:dyDescent="0.25">
      <c r="A20" s="38">
        <v>15</v>
      </c>
      <c r="B20" s="67" t="s">
        <v>571</v>
      </c>
      <c r="C20" s="26"/>
      <c r="D20" s="8"/>
      <c r="E20" s="8"/>
      <c r="F20" s="8"/>
      <c r="G20" s="8"/>
      <c r="H20" s="8"/>
      <c r="I20" s="8"/>
      <c r="J20" s="15" t="e">
        <f t="shared" si="0"/>
        <v>#DIV/0!</v>
      </c>
      <c r="K20" s="8"/>
      <c r="L20" s="8"/>
      <c r="M20" s="15" t="e">
        <f t="shared" si="1"/>
        <v>#DIV/0!</v>
      </c>
      <c r="N20" s="8"/>
      <c r="O20" s="8"/>
      <c r="P20" s="15" t="e">
        <f t="shared" si="2"/>
        <v>#DIV/0!</v>
      </c>
      <c r="Q20" s="10"/>
      <c r="R20" s="359" t="e">
        <f t="shared" si="3"/>
        <v>#DIV/0!</v>
      </c>
      <c r="S20" s="360"/>
      <c r="T20" s="360"/>
      <c r="U20" s="361"/>
      <c r="V20" s="14" t="e">
        <f t="shared" si="4"/>
        <v>#DIV/0!</v>
      </c>
      <c r="W20" s="10"/>
      <c r="X20" s="10"/>
    </row>
    <row r="21" spans="1:24" ht="15.75" customHeight="1" x14ac:dyDescent="0.25">
      <c r="A21" s="38">
        <v>16</v>
      </c>
      <c r="B21" s="67" t="s">
        <v>573</v>
      </c>
      <c r="C21" s="26"/>
      <c r="D21" s="8"/>
      <c r="E21" s="8"/>
      <c r="F21" s="8"/>
      <c r="G21" s="8"/>
      <c r="H21" s="8"/>
      <c r="I21" s="8"/>
      <c r="J21" s="15" t="e">
        <f t="shared" si="0"/>
        <v>#DIV/0!</v>
      </c>
      <c r="K21" s="8"/>
      <c r="L21" s="8"/>
      <c r="M21" s="15" t="e">
        <f t="shared" si="1"/>
        <v>#DIV/0!</v>
      </c>
      <c r="N21" s="8"/>
      <c r="O21" s="8"/>
      <c r="P21" s="15" t="e">
        <f t="shared" si="2"/>
        <v>#DIV/0!</v>
      </c>
      <c r="Q21" s="10"/>
      <c r="R21" s="359" t="e">
        <f t="shared" si="3"/>
        <v>#DIV/0!</v>
      </c>
      <c r="S21" s="360"/>
      <c r="T21" s="360"/>
      <c r="U21" s="361"/>
      <c r="V21" s="14" t="e">
        <f t="shared" si="4"/>
        <v>#DIV/0!</v>
      </c>
      <c r="W21" s="10"/>
      <c r="X21" s="10"/>
    </row>
    <row r="22" spans="1:24" ht="15.75" customHeight="1" x14ac:dyDescent="0.25">
      <c r="A22" s="38">
        <v>17</v>
      </c>
      <c r="B22" s="67" t="s">
        <v>574</v>
      </c>
      <c r="C22" s="26"/>
      <c r="D22" s="8"/>
      <c r="E22" s="8"/>
      <c r="F22" s="8"/>
      <c r="G22" s="8"/>
      <c r="H22" s="8"/>
      <c r="I22" s="13"/>
      <c r="J22" s="15" t="e">
        <f t="shared" si="0"/>
        <v>#DIV/0!</v>
      </c>
      <c r="K22" s="8"/>
      <c r="L22" s="8"/>
      <c r="M22" s="15" t="e">
        <f t="shared" si="1"/>
        <v>#DIV/0!</v>
      </c>
      <c r="N22" s="8"/>
      <c r="O22" s="8"/>
      <c r="P22" s="15" t="e">
        <f t="shared" si="2"/>
        <v>#DIV/0!</v>
      </c>
      <c r="Q22" s="10"/>
      <c r="R22" s="359" t="e">
        <f t="shared" si="3"/>
        <v>#DIV/0!</v>
      </c>
      <c r="S22" s="360"/>
      <c r="T22" s="360"/>
      <c r="U22" s="361"/>
      <c r="V22" s="14" t="e">
        <f t="shared" si="4"/>
        <v>#DIV/0!</v>
      </c>
      <c r="W22" s="10"/>
      <c r="X22" s="10"/>
    </row>
    <row r="23" spans="1:24" ht="15.75" customHeight="1" x14ac:dyDescent="0.25">
      <c r="A23" s="38">
        <v>18</v>
      </c>
      <c r="B23" s="124" t="s">
        <v>688</v>
      </c>
      <c r="C23" s="26"/>
      <c r="D23" s="8"/>
      <c r="E23" s="8"/>
      <c r="F23" s="8"/>
      <c r="G23" s="8"/>
      <c r="H23" s="8"/>
      <c r="I23" s="8"/>
      <c r="J23" s="15" t="e">
        <f t="shared" si="0"/>
        <v>#DIV/0!</v>
      </c>
      <c r="K23" s="8"/>
      <c r="L23" s="8"/>
      <c r="M23" s="15" t="e">
        <f t="shared" si="1"/>
        <v>#DIV/0!</v>
      </c>
      <c r="N23" s="8"/>
      <c r="O23" s="8"/>
      <c r="P23" s="15" t="e">
        <f t="shared" si="2"/>
        <v>#DIV/0!</v>
      </c>
      <c r="Q23" s="10"/>
      <c r="R23" s="359" t="e">
        <f t="shared" si="3"/>
        <v>#DIV/0!</v>
      </c>
      <c r="S23" s="360"/>
      <c r="T23" s="360"/>
      <c r="U23" s="361"/>
      <c r="V23" s="14" t="e">
        <f t="shared" si="4"/>
        <v>#DIV/0!</v>
      </c>
      <c r="W23" s="10"/>
      <c r="X23" s="10"/>
    </row>
    <row r="24" spans="1:24" ht="15.75" customHeight="1" x14ac:dyDescent="0.25">
      <c r="A24" s="38">
        <v>19</v>
      </c>
      <c r="B24" s="67" t="s">
        <v>575</v>
      </c>
      <c r="C24" s="26"/>
      <c r="D24" s="8"/>
      <c r="E24" s="8"/>
      <c r="F24" s="8"/>
      <c r="G24" s="8"/>
      <c r="H24" s="8"/>
      <c r="I24" s="8"/>
      <c r="J24" s="15" t="e">
        <f t="shared" si="0"/>
        <v>#DIV/0!</v>
      </c>
      <c r="K24" s="8"/>
      <c r="L24" s="8"/>
      <c r="M24" s="15" t="e">
        <f t="shared" si="1"/>
        <v>#DIV/0!</v>
      </c>
      <c r="N24" s="8"/>
      <c r="O24" s="8"/>
      <c r="P24" s="15" t="e">
        <f t="shared" si="2"/>
        <v>#DIV/0!</v>
      </c>
      <c r="Q24" s="10"/>
      <c r="R24" s="359" t="e">
        <f t="shared" si="3"/>
        <v>#DIV/0!</v>
      </c>
      <c r="S24" s="360"/>
      <c r="T24" s="360"/>
      <c r="U24" s="361"/>
      <c r="V24" s="14" t="e">
        <f t="shared" si="4"/>
        <v>#DIV/0!</v>
      </c>
      <c r="W24" s="10"/>
      <c r="X24" s="10"/>
    </row>
    <row r="25" spans="1:24" ht="15.75" customHeight="1" x14ac:dyDescent="0.25">
      <c r="A25" s="38">
        <v>20</v>
      </c>
      <c r="B25" s="67" t="s">
        <v>576</v>
      </c>
      <c r="C25" s="26"/>
      <c r="D25" s="8"/>
      <c r="E25" s="8"/>
      <c r="F25" s="8"/>
      <c r="G25" s="8"/>
      <c r="H25" s="8"/>
      <c r="I25" s="8"/>
      <c r="J25" s="15" t="e">
        <f t="shared" si="0"/>
        <v>#DIV/0!</v>
      </c>
      <c r="K25" s="8"/>
      <c r="L25" s="8"/>
      <c r="M25" s="15" t="e">
        <f t="shared" si="1"/>
        <v>#DIV/0!</v>
      </c>
      <c r="N25" s="8"/>
      <c r="O25" s="8"/>
      <c r="P25" s="15" t="e">
        <f t="shared" si="2"/>
        <v>#DIV/0!</v>
      </c>
      <c r="Q25" s="10"/>
      <c r="R25" s="359" t="e">
        <f t="shared" si="3"/>
        <v>#DIV/0!</v>
      </c>
      <c r="S25" s="360"/>
      <c r="T25" s="360"/>
      <c r="U25" s="361"/>
      <c r="V25" s="14" t="e">
        <f t="shared" si="4"/>
        <v>#DIV/0!</v>
      </c>
      <c r="W25" s="10"/>
      <c r="X25" s="10"/>
    </row>
    <row r="26" spans="1:24" ht="15.75" customHeight="1" x14ac:dyDescent="0.25">
      <c r="A26" s="38">
        <v>21</v>
      </c>
      <c r="B26" s="67" t="s">
        <v>578</v>
      </c>
      <c r="C26" s="26"/>
      <c r="D26" s="8"/>
      <c r="E26" s="8"/>
      <c r="F26" s="8"/>
      <c r="G26" s="8"/>
      <c r="H26" s="8"/>
      <c r="I26" s="8"/>
      <c r="J26" s="15" t="e">
        <f t="shared" si="0"/>
        <v>#DIV/0!</v>
      </c>
      <c r="K26" s="8"/>
      <c r="L26" s="8"/>
      <c r="M26" s="15" t="e">
        <f t="shared" si="1"/>
        <v>#DIV/0!</v>
      </c>
      <c r="N26" s="8"/>
      <c r="O26" s="8"/>
      <c r="P26" s="15" t="e">
        <f t="shared" si="2"/>
        <v>#DIV/0!</v>
      </c>
      <c r="Q26" s="10"/>
      <c r="R26" s="359" t="e">
        <f t="shared" si="3"/>
        <v>#DIV/0!</v>
      </c>
      <c r="S26" s="360"/>
      <c r="T26" s="360"/>
      <c r="U26" s="361"/>
      <c r="V26" s="14" t="e">
        <f t="shared" si="4"/>
        <v>#DIV/0!</v>
      </c>
      <c r="W26" s="10"/>
      <c r="X26" s="10"/>
    </row>
    <row r="27" spans="1:24" ht="15.75" customHeight="1" x14ac:dyDescent="0.25">
      <c r="A27" s="38">
        <v>22</v>
      </c>
      <c r="B27" s="67" t="s">
        <v>579</v>
      </c>
      <c r="C27" s="26"/>
      <c r="D27" s="8"/>
      <c r="E27" s="8"/>
      <c r="F27" s="8"/>
      <c r="G27" s="8"/>
      <c r="H27" s="8"/>
      <c r="I27" s="8"/>
      <c r="J27" s="15" t="e">
        <f t="shared" si="0"/>
        <v>#DIV/0!</v>
      </c>
      <c r="K27" s="8"/>
      <c r="L27" s="8"/>
      <c r="M27" s="15" t="e">
        <f t="shared" si="1"/>
        <v>#DIV/0!</v>
      </c>
      <c r="N27" s="8"/>
      <c r="O27" s="8"/>
      <c r="P27" s="15" t="e">
        <f t="shared" si="2"/>
        <v>#DIV/0!</v>
      </c>
      <c r="Q27" s="10"/>
      <c r="R27" s="359" t="e">
        <f t="shared" si="3"/>
        <v>#DIV/0!</v>
      </c>
      <c r="S27" s="360"/>
      <c r="T27" s="360"/>
      <c r="U27" s="361"/>
      <c r="V27" s="14" t="e">
        <f t="shared" si="4"/>
        <v>#DIV/0!</v>
      </c>
      <c r="W27" s="10"/>
      <c r="X27" s="10"/>
    </row>
    <row r="28" spans="1:24" ht="15.75" customHeight="1" x14ac:dyDescent="0.25">
      <c r="A28" s="38">
        <v>23</v>
      </c>
      <c r="B28" s="67" t="s">
        <v>580</v>
      </c>
      <c r="C28" s="26"/>
      <c r="D28" s="8"/>
      <c r="E28" s="8"/>
      <c r="F28" s="8"/>
      <c r="G28" s="8"/>
      <c r="H28" s="8"/>
      <c r="I28" s="8"/>
      <c r="J28" s="15" t="e">
        <f t="shared" si="0"/>
        <v>#DIV/0!</v>
      </c>
      <c r="K28" s="8"/>
      <c r="L28" s="8"/>
      <c r="M28" s="15" t="e">
        <f t="shared" si="1"/>
        <v>#DIV/0!</v>
      </c>
      <c r="N28" s="8"/>
      <c r="O28" s="8"/>
      <c r="P28" s="15" t="e">
        <f t="shared" si="2"/>
        <v>#DIV/0!</v>
      </c>
      <c r="Q28" s="10"/>
      <c r="R28" s="359" t="e">
        <f t="shared" si="3"/>
        <v>#DIV/0!</v>
      </c>
      <c r="S28" s="360"/>
      <c r="T28" s="360"/>
      <c r="U28" s="361"/>
      <c r="V28" s="14" t="e">
        <f t="shared" si="4"/>
        <v>#DIV/0!</v>
      </c>
      <c r="W28" s="10"/>
      <c r="X28" s="10"/>
    </row>
    <row r="29" spans="1:24" ht="15.75" customHeight="1" x14ac:dyDescent="0.25">
      <c r="A29" s="38">
        <v>24</v>
      </c>
      <c r="B29" s="67" t="s">
        <v>581</v>
      </c>
      <c r="C29" s="26"/>
      <c r="D29" s="8"/>
      <c r="E29" s="8"/>
      <c r="F29" s="8"/>
      <c r="G29" s="8"/>
      <c r="H29" s="8"/>
      <c r="I29" s="8"/>
      <c r="J29" s="15" t="e">
        <f t="shared" si="0"/>
        <v>#DIV/0!</v>
      </c>
      <c r="K29" s="8"/>
      <c r="L29" s="8"/>
      <c r="M29" s="15" t="e">
        <f t="shared" si="1"/>
        <v>#DIV/0!</v>
      </c>
      <c r="N29" s="8"/>
      <c r="O29" s="8"/>
      <c r="P29" s="15" t="e">
        <f t="shared" si="2"/>
        <v>#DIV/0!</v>
      </c>
      <c r="Q29" s="10"/>
      <c r="R29" s="359" t="e">
        <f t="shared" si="3"/>
        <v>#DIV/0!</v>
      </c>
      <c r="S29" s="360"/>
      <c r="T29" s="360"/>
      <c r="U29" s="361"/>
      <c r="V29" s="14" t="e">
        <f t="shared" si="4"/>
        <v>#DIV/0!</v>
      </c>
      <c r="W29" s="10"/>
      <c r="X29" s="10"/>
    </row>
    <row r="30" spans="1:24" ht="15.75" customHeight="1" x14ac:dyDescent="0.25">
      <c r="A30" s="38">
        <v>25</v>
      </c>
      <c r="B30" s="67" t="s">
        <v>583</v>
      </c>
      <c r="C30" s="26"/>
      <c r="D30" s="8"/>
      <c r="E30" s="8"/>
      <c r="F30" s="8"/>
      <c r="G30" s="8"/>
      <c r="H30" s="8"/>
      <c r="I30" s="8"/>
      <c r="J30" s="15" t="e">
        <f t="shared" si="0"/>
        <v>#DIV/0!</v>
      </c>
      <c r="K30" s="8"/>
      <c r="L30" s="8"/>
      <c r="M30" s="15" t="e">
        <f t="shared" si="1"/>
        <v>#DIV/0!</v>
      </c>
      <c r="N30" s="8"/>
      <c r="O30" s="8"/>
      <c r="P30" s="15" t="e">
        <f t="shared" si="2"/>
        <v>#DIV/0!</v>
      </c>
      <c r="Q30" s="10"/>
      <c r="R30" s="359" t="e">
        <f t="shared" si="3"/>
        <v>#DIV/0!</v>
      </c>
      <c r="S30" s="360"/>
      <c r="T30" s="360"/>
      <c r="U30" s="361"/>
      <c r="V30" s="14" t="e">
        <f t="shared" si="4"/>
        <v>#DIV/0!</v>
      </c>
      <c r="W30" s="10"/>
      <c r="X30" s="10"/>
    </row>
    <row r="31" spans="1:24" ht="15.75" customHeight="1" x14ac:dyDescent="0.25">
      <c r="A31" s="38">
        <v>26</v>
      </c>
      <c r="B31" s="70" t="s">
        <v>584</v>
      </c>
      <c r="C31" s="26"/>
      <c r="D31" s="8"/>
      <c r="E31" s="8"/>
      <c r="F31" s="8"/>
      <c r="G31" s="8"/>
      <c r="H31" s="8"/>
      <c r="I31" s="8"/>
      <c r="J31" s="15" t="e">
        <f t="shared" si="0"/>
        <v>#DIV/0!</v>
      </c>
      <c r="K31" s="8"/>
      <c r="L31" s="8"/>
      <c r="M31" s="15" t="e">
        <f t="shared" si="1"/>
        <v>#DIV/0!</v>
      </c>
      <c r="N31" s="8"/>
      <c r="O31" s="8"/>
      <c r="P31" s="15" t="e">
        <f t="shared" si="2"/>
        <v>#DIV/0!</v>
      </c>
      <c r="Q31" s="10"/>
      <c r="R31" s="359" t="e">
        <f t="shared" si="3"/>
        <v>#DIV/0!</v>
      </c>
      <c r="S31" s="360"/>
      <c r="T31" s="360"/>
      <c r="U31" s="361"/>
      <c r="V31" s="14" t="e">
        <f t="shared" si="4"/>
        <v>#DIV/0!</v>
      </c>
      <c r="W31" s="10"/>
      <c r="X31" s="10"/>
    </row>
    <row r="32" spans="1:24" ht="15.75" customHeight="1" x14ac:dyDescent="0.25">
      <c r="A32" s="38">
        <v>27</v>
      </c>
      <c r="B32" s="70" t="s">
        <v>585</v>
      </c>
      <c r="C32" s="26"/>
      <c r="D32" s="8"/>
      <c r="E32" s="8"/>
      <c r="F32" s="8"/>
      <c r="G32" s="8"/>
      <c r="H32" s="8"/>
      <c r="I32" s="8"/>
      <c r="J32" s="15" t="e">
        <f t="shared" si="0"/>
        <v>#DIV/0!</v>
      </c>
      <c r="K32" s="8"/>
      <c r="L32" s="8"/>
      <c r="M32" s="15" t="e">
        <f t="shared" si="1"/>
        <v>#DIV/0!</v>
      </c>
      <c r="N32" s="8"/>
      <c r="O32" s="8"/>
      <c r="P32" s="15" t="e">
        <f t="shared" si="2"/>
        <v>#DIV/0!</v>
      </c>
      <c r="Q32" s="10"/>
      <c r="R32" s="359" t="e">
        <f t="shared" si="3"/>
        <v>#DIV/0!</v>
      </c>
      <c r="S32" s="360"/>
      <c r="T32" s="360"/>
      <c r="U32" s="361"/>
      <c r="V32" s="14" t="e">
        <f t="shared" si="4"/>
        <v>#DIV/0!</v>
      </c>
      <c r="W32" s="10"/>
      <c r="X32" s="10"/>
    </row>
    <row r="33" spans="1:24" ht="15.75" customHeight="1" x14ac:dyDescent="0.25">
      <c r="A33" s="38">
        <v>28</v>
      </c>
      <c r="B33" s="70" t="s">
        <v>586</v>
      </c>
      <c r="C33" s="26"/>
      <c r="D33" s="8"/>
      <c r="E33" s="8"/>
      <c r="F33" s="8"/>
      <c r="G33" s="8"/>
      <c r="H33" s="8"/>
      <c r="I33" s="8"/>
      <c r="J33" s="15" t="e">
        <f t="shared" si="0"/>
        <v>#DIV/0!</v>
      </c>
      <c r="K33" s="8"/>
      <c r="L33" s="8"/>
      <c r="M33" s="15" t="e">
        <f t="shared" si="1"/>
        <v>#DIV/0!</v>
      </c>
      <c r="N33" s="8"/>
      <c r="O33" s="8"/>
      <c r="P33" s="15" t="e">
        <f t="shared" si="2"/>
        <v>#DIV/0!</v>
      </c>
      <c r="Q33" s="10"/>
      <c r="R33" s="359" t="e">
        <f t="shared" si="3"/>
        <v>#DIV/0!</v>
      </c>
      <c r="S33" s="360"/>
      <c r="T33" s="360"/>
      <c r="U33" s="361"/>
      <c r="V33" s="14" t="e">
        <f t="shared" si="4"/>
        <v>#DIV/0!</v>
      </c>
      <c r="W33" s="10"/>
      <c r="X33" s="10"/>
    </row>
    <row r="34" spans="1:24" ht="15.75" customHeight="1" x14ac:dyDescent="0.25">
      <c r="A34" s="38">
        <v>29</v>
      </c>
      <c r="B34" s="71" t="s">
        <v>587</v>
      </c>
      <c r="C34" s="26"/>
      <c r="D34" s="8"/>
      <c r="E34" s="8"/>
      <c r="F34" s="8"/>
      <c r="G34" s="8"/>
      <c r="H34" s="8"/>
      <c r="I34" s="8"/>
      <c r="J34" s="15" t="e">
        <f t="shared" si="0"/>
        <v>#DIV/0!</v>
      </c>
      <c r="K34" s="8"/>
      <c r="L34" s="8"/>
      <c r="M34" s="15" t="e">
        <f t="shared" si="1"/>
        <v>#DIV/0!</v>
      </c>
      <c r="N34" s="8"/>
      <c r="O34" s="8"/>
      <c r="P34" s="15" t="e">
        <f t="shared" si="2"/>
        <v>#DIV/0!</v>
      </c>
      <c r="Q34" s="10"/>
      <c r="R34" s="359" t="e">
        <f t="shared" si="3"/>
        <v>#DIV/0!</v>
      </c>
      <c r="S34" s="360"/>
      <c r="T34" s="360"/>
      <c r="U34" s="361"/>
      <c r="V34" s="14" t="e">
        <f t="shared" si="4"/>
        <v>#DIV/0!</v>
      </c>
      <c r="W34" s="10"/>
      <c r="X34" s="10"/>
    </row>
    <row r="35" spans="1:24" ht="15.75" customHeight="1" x14ac:dyDescent="0.25">
      <c r="A35" s="38">
        <v>30</v>
      </c>
      <c r="B35" s="70" t="s">
        <v>589</v>
      </c>
      <c r="C35" s="26"/>
      <c r="D35" s="8"/>
      <c r="E35" s="8"/>
      <c r="F35" s="8"/>
      <c r="G35" s="8"/>
      <c r="H35" s="8"/>
      <c r="I35" s="8"/>
      <c r="J35" s="15" t="e">
        <f t="shared" si="0"/>
        <v>#DIV/0!</v>
      </c>
      <c r="K35" s="8"/>
      <c r="L35" s="8"/>
      <c r="M35" s="15" t="e">
        <f t="shared" si="1"/>
        <v>#DIV/0!</v>
      </c>
      <c r="N35" s="8"/>
      <c r="O35" s="8"/>
      <c r="P35" s="15" t="e">
        <f t="shared" si="2"/>
        <v>#DIV/0!</v>
      </c>
      <c r="Q35" s="10"/>
      <c r="R35" s="359" t="e">
        <f t="shared" si="3"/>
        <v>#DIV/0!</v>
      </c>
      <c r="S35" s="360"/>
      <c r="T35" s="360"/>
      <c r="U35" s="361"/>
      <c r="V35" s="14" t="e">
        <f t="shared" si="4"/>
        <v>#DIV/0!</v>
      </c>
      <c r="W35" s="10"/>
      <c r="X35" s="10"/>
    </row>
    <row r="36" spans="1:24" ht="15.75" customHeight="1" x14ac:dyDescent="0.25">
      <c r="A36" s="38">
        <v>31</v>
      </c>
      <c r="B36" s="70" t="s">
        <v>590</v>
      </c>
      <c r="C36" s="26"/>
      <c r="D36" s="8"/>
      <c r="E36" s="8"/>
      <c r="F36" s="8"/>
      <c r="G36" s="8"/>
      <c r="H36" s="8"/>
      <c r="I36" s="8"/>
      <c r="J36" s="15" t="e">
        <f t="shared" si="0"/>
        <v>#DIV/0!</v>
      </c>
      <c r="K36" s="8"/>
      <c r="L36" s="8"/>
      <c r="M36" s="15" t="e">
        <f t="shared" si="1"/>
        <v>#DIV/0!</v>
      </c>
      <c r="N36" s="8"/>
      <c r="O36" s="8"/>
      <c r="P36" s="15" t="e">
        <f t="shared" si="2"/>
        <v>#DIV/0!</v>
      </c>
      <c r="Q36" s="10"/>
      <c r="R36" s="359" t="e">
        <f t="shared" si="3"/>
        <v>#DIV/0!</v>
      </c>
      <c r="S36" s="360"/>
      <c r="T36" s="360"/>
      <c r="U36" s="361"/>
      <c r="V36" s="14" t="e">
        <f t="shared" si="4"/>
        <v>#DIV/0!</v>
      </c>
      <c r="W36" s="10"/>
      <c r="X36" s="10"/>
    </row>
    <row r="37" spans="1:24" ht="15.75" customHeight="1" x14ac:dyDescent="0.25">
      <c r="A37" s="38">
        <v>32</v>
      </c>
      <c r="B37" s="68" t="s">
        <v>591</v>
      </c>
      <c r="C37" s="26"/>
      <c r="D37" s="8"/>
      <c r="E37" s="8"/>
      <c r="F37" s="8"/>
      <c r="G37" s="8"/>
      <c r="H37" s="8"/>
      <c r="I37" s="8"/>
      <c r="J37" s="15" t="e">
        <f t="shared" si="0"/>
        <v>#DIV/0!</v>
      </c>
      <c r="K37" s="8"/>
      <c r="L37" s="8"/>
      <c r="M37" s="15" t="e">
        <f t="shared" si="1"/>
        <v>#DIV/0!</v>
      </c>
      <c r="N37" s="8"/>
      <c r="O37" s="8"/>
      <c r="P37" s="15" t="e">
        <f t="shared" si="2"/>
        <v>#DIV/0!</v>
      </c>
      <c r="Q37" s="10"/>
      <c r="R37" s="359" t="e">
        <f t="shared" si="3"/>
        <v>#DIV/0!</v>
      </c>
      <c r="S37" s="360"/>
      <c r="T37" s="360"/>
      <c r="U37" s="361"/>
      <c r="V37" s="14" t="e">
        <f t="shared" si="4"/>
        <v>#DIV/0!</v>
      </c>
      <c r="W37" s="10"/>
      <c r="X37" s="10"/>
    </row>
    <row r="38" spans="1:24" ht="15.75" customHeight="1" x14ac:dyDescent="0.25">
      <c r="A38" s="38">
        <v>33</v>
      </c>
      <c r="B38" s="67" t="s">
        <v>592</v>
      </c>
      <c r="C38" s="26"/>
      <c r="D38" s="8"/>
      <c r="E38" s="8"/>
      <c r="F38" s="8"/>
      <c r="G38" s="8"/>
      <c r="H38" s="8"/>
      <c r="I38" s="8"/>
      <c r="J38" s="15" t="e">
        <f t="shared" si="0"/>
        <v>#DIV/0!</v>
      </c>
      <c r="K38" s="8"/>
      <c r="L38" s="8"/>
      <c r="M38" s="15" t="e">
        <f t="shared" si="1"/>
        <v>#DIV/0!</v>
      </c>
      <c r="N38" s="8"/>
      <c r="O38" s="8"/>
      <c r="P38" s="15" t="e">
        <f t="shared" si="2"/>
        <v>#DIV/0!</v>
      </c>
      <c r="Q38" s="10"/>
      <c r="R38" s="359" t="e">
        <f t="shared" si="3"/>
        <v>#DIV/0!</v>
      </c>
      <c r="S38" s="360"/>
      <c r="T38" s="360"/>
      <c r="U38" s="361"/>
      <c r="V38" s="14" t="e">
        <f t="shared" si="4"/>
        <v>#DIV/0!</v>
      </c>
      <c r="W38" s="10"/>
      <c r="X38" s="10"/>
    </row>
    <row r="39" spans="1:24" ht="15.75" customHeight="1" x14ac:dyDescent="0.25">
      <c r="A39" s="38">
        <v>34</v>
      </c>
      <c r="B39" s="67" t="s">
        <v>594</v>
      </c>
      <c r="C39" s="26"/>
      <c r="D39" s="8"/>
      <c r="E39" s="8"/>
      <c r="F39" s="8"/>
      <c r="G39" s="8"/>
      <c r="H39" s="8"/>
      <c r="I39" s="8"/>
      <c r="J39" s="15" t="e">
        <f t="shared" si="0"/>
        <v>#DIV/0!</v>
      </c>
      <c r="K39" s="8"/>
      <c r="L39" s="8"/>
      <c r="M39" s="15" t="e">
        <f t="shared" si="1"/>
        <v>#DIV/0!</v>
      </c>
      <c r="N39" s="8"/>
      <c r="O39" s="8"/>
      <c r="P39" s="15" t="e">
        <f t="shared" si="2"/>
        <v>#DIV/0!</v>
      </c>
      <c r="Q39" s="10"/>
      <c r="R39" s="359" t="e">
        <f t="shared" si="3"/>
        <v>#DIV/0!</v>
      </c>
      <c r="S39" s="360"/>
      <c r="T39" s="360"/>
      <c r="U39" s="361"/>
      <c r="V39" s="14" t="e">
        <f t="shared" si="4"/>
        <v>#DIV/0!</v>
      </c>
      <c r="W39" s="10"/>
      <c r="X39" s="10"/>
    </row>
    <row r="40" spans="1:24" ht="15.75" customHeight="1" x14ac:dyDescent="0.25">
      <c r="A40" s="38">
        <v>35</v>
      </c>
      <c r="B40" s="67" t="s">
        <v>595</v>
      </c>
      <c r="C40" s="26"/>
      <c r="D40" s="8"/>
      <c r="E40" s="8"/>
      <c r="F40" s="8"/>
      <c r="G40" s="8"/>
      <c r="H40" s="8"/>
      <c r="I40" s="8"/>
      <c r="J40" s="15" t="e">
        <f t="shared" si="0"/>
        <v>#DIV/0!</v>
      </c>
      <c r="K40" s="8"/>
      <c r="L40" s="8"/>
      <c r="M40" s="15" t="e">
        <f t="shared" si="1"/>
        <v>#DIV/0!</v>
      </c>
      <c r="N40" s="8"/>
      <c r="O40" s="8"/>
      <c r="P40" s="15" t="e">
        <f t="shared" si="2"/>
        <v>#DIV/0!</v>
      </c>
      <c r="Q40" s="10"/>
      <c r="R40" s="359" t="e">
        <f t="shared" si="3"/>
        <v>#DIV/0!</v>
      </c>
      <c r="S40" s="360"/>
      <c r="T40" s="360"/>
      <c r="U40" s="361"/>
      <c r="V40" s="14" t="e">
        <f t="shared" si="4"/>
        <v>#DIV/0!</v>
      </c>
      <c r="W40" s="10"/>
      <c r="X40" s="10"/>
    </row>
    <row r="41" spans="1:24" ht="15.75" customHeight="1" x14ac:dyDescent="0.25">
      <c r="A41" s="38">
        <v>36</v>
      </c>
      <c r="B41" s="117"/>
      <c r="C41" s="26"/>
      <c r="D41" s="8"/>
      <c r="E41" s="8"/>
      <c r="F41" s="8"/>
      <c r="G41" s="8"/>
      <c r="H41" s="8"/>
      <c r="I41" s="8"/>
      <c r="J41" s="15" t="e">
        <f t="shared" si="0"/>
        <v>#DIV/0!</v>
      </c>
      <c r="K41" s="8"/>
      <c r="L41" s="8"/>
      <c r="M41" s="15" t="e">
        <f t="shared" si="1"/>
        <v>#DIV/0!</v>
      </c>
      <c r="N41" s="8"/>
      <c r="O41" s="8"/>
      <c r="P41" s="15" t="e">
        <f t="shared" si="2"/>
        <v>#DIV/0!</v>
      </c>
      <c r="Q41" s="10"/>
      <c r="R41" s="359" t="e">
        <f t="shared" si="3"/>
        <v>#DIV/0!</v>
      </c>
      <c r="S41" s="360"/>
      <c r="T41" s="360"/>
      <c r="U41" s="361"/>
      <c r="V41" s="14" t="e">
        <f t="shared" si="4"/>
        <v>#DIV/0!</v>
      </c>
      <c r="W41" s="10"/>
      <c r="X41" s="10"/>
    </row>
    <row r="42" spans="1:24" ht="15.75" customHeight="1" x14ac:dyDescent="0.25">
      <c r="A42" s="38">
        <v>37</v>
      </c>
      <c r="B42" s="117"/>
      <c r="C42" s="26"/>
      <c r="D42" s="8"/>
      <c r="E42" s="8"/>
      <c r="F42" s="8"/>
      <c r="G42" s="8"/>
      <c r="H42" s="8"/>
      <c r="I42" s="8"/>
      <c r="J42" s="15" t="e">
        <f t="shared" si="0"/>
        <v>#DIV/0!</v>
      </c>
      <c r="K42" s="8"/>
      <c r="L42" s="8"/>
      <c r="M42" s="15" t="e">
        <f t="shared" si="1"/>
        <v>#DIV/0!</v>
      </c>
      <c r="N42" s="8"/>
      <c r="O42" s="8"/>
      <c r="P42" s="15" t="e">
        <f t="shared" si="2"/>
        <v>#DIV/0!</v>
      </c>
      <c r="Q42" s="10"/>
      <c r="R42" s="359" t="e">
        <f t="shared" si="3"/>
        <v>#DIV/0!</v>
      </c>
      <c r="S42" s="360"/>
      <c r="T42" s="360"/>
      <c r="U42" s="361"/>
      <c r="V42" s="14" t="e">
        <f t="shared" si="4"/>
        <v>#DIV/0!</v>
      </c>
      <c r="W42" s="10"/>
      <c r="X42" s="10"/>
    </row>
    <row r="43" spans="1:24" ht="15.75" customHeight="1" x14ac:dyDescent="0.25">
      <c r="A43" s="38">
        <v>38</v>
      </c>
      <c r="B43" s="67"/>
      <c r="C43" s="26"/>
      <c r="D43" s="8"/>
      <c r="E43" s="8"/>
      <c r="F43" s="8"/>
      <c r="G43" s="8"/>
      <c r="H43" s="8"/>
      <c r="I43" s="8"/>
      <c r="J43" s="15" t="e">
        <f t="shared" si="0"/>
        <v>#DIV/0!</v>
      </c>
      <c r="K43" s="8"/>
      <c r="L43" s="8"/>
      <c r="M43" s="15" t="e">
        <f t="shared" si="1"/>
        <v>#DIV/0!</v>
      </c>
      <c r="N43" s="8"/>
      <c r="O43" s="8"/>
      <c r="P43" s="15" t="e">
        <f t="shared" si="2"/>
        <v>#DIV/0!</v>
      </c>
      <c r="Q43" s="10"/>
      <c r="R43" s="359" t="e">
        <f t="shared" si="3"/>
        <v>#DIV/0!</v>
      </c>
      <c r="S43" s="360"/>
      <c r="T43" s="360"/>
      <c r="U43" s="361"/>
      <c r="V43" s="14" t="e">
        <f t="shared" si="4"/>
        <v>#DIV/0!</v>
      </c>
      <c r="W43" s="10"/>
      <c r="X43" s="10"/>
    </row>
    <row r="44" spans="1:24" ht="15.75" customHeight="1" x14ac:dyDescent="0.25">
      <c r="A44" s="38">
        <v>39</v>
      </c>
      <c r="B44" s="67"/>
      <c r="C44" s="26"/>
      <c r="D44" s="8"/>
      <c r="E44" s="8"/>
      <c r="F44" s="8"/>
      <c r="G44" s="8"/>
      <c r="H44" s="8"/>
      <c r="I44" s="8"/>
      <c r="J44" s="15" t="e">
        <f t="shared" si="0"/>
        <v>#DIV/0!</v>
      </c>
      <c r="K44" s="8"/>
      <c r="L44" s="8"/>
      <c r="M44" s="15" t="e">
        <f t="shared" si="1"/>
        <v>#DIV/0!</v>
      </c>
      <c r="N44" s="8"/>
      <c r="O44" s="8"/>
      <c r="P44" s="15" t="e">
        <f t="shared" si="2"/>
        <v>#DIV/0!</v>
      </c>
      <c r="Q44" s="10"/>
      <c r="R44" s="359" t="e">
        <f t="shared" si="3"/>
        <v>#DIV/0!</v>
      </c>
      <c r="S44" s="360"/>
      <c r="T44" s="360"/>
      <c r="U44" s="361"/>
      <c r="V44" s="14" t="e">
        <f t="shared" si="4"/>
        <v>#DIV/0!</v>
      </c>
      <c r="W44" s="10"/>
      <c r="X44" s="10"/>
    </row>
    <row r="45" spans="1:24" ht="15.75" customHeight="1" x14ac:dyDescent="0.25">
      <c r="A45" s="38">
        <v>40</v>
      </c>
      <c r="B45" s="67"/>
      <c r="C45" s="26"/>
      <c r="D45" s="8"/>
      <c r="E45" s="8"/>
      <c r="F45" s="8"/>
      <c r="G45" s="8"/>
      <c r="H45" s="8"/>
      <c r="I45" s="8"/>
      <c r="J45" s="15" t="e">
        <f t="shared" si="0"/>
        <v>#DIV/0!</v>
      </c>
      <c r="K45" s="8"/>
      <c r="L45" s="8"/>
      <c r="M45" s="15" t="e">
        <f t="shared" si="1"/>
        <v>#DIV/0!</v>
      </c>
      <c r="N45" s="8"/>
      <c r="O45" s="8"/>
      <c r="P45" s="15" t="e">
        <f t="shared" si="2"/>
        <v>#DIV/0!</v>
      </c>
      <c r="Q45" s="10"/>
      <c r="R45" s="359" t="e">
        <f t="shared" si="3"/>
        <v>#DIV/0!</v>
      </c>
      <c r="S45" s="360"/>
      <c r="T45" s="360"/>
      <c r="U45" s="361"/>
      <c r="V45" s="14" t="e">
        <f t="shared" si="4"/>
        <v>#DIV/0!</v>
      </c>
      <c r="W45" s="10"/>
      <c r="X45" s="10"/>
    </row>
    <row r="46" spans="1:24" ht="15.75" customHeight="1" x14ac:dyDescent="0.25">
      <c r="A46" s="38">
        <v>41</v>
      </c>
      <c r="B46" s="67"/>
      <c r="C46" s="26"/>
      <c r="D46" s="8"/>
      <c r="E46" s="8"/>
      <c r="F46" s="8"/>
      <c r="G46" s="8"/>
      <c r="H46" s="8"/>
      <c r="I46" s="8"/>
      <c r="J46" s="15" t="e">
        <f t="shared" si="0"/>
        <v>#DIV/0!</v>
      </c>
      <c r="K46" s="8"/>
      <c r="L46" s="8"/>
      <c r="M46" s="15" t="e">
        <f t="shared" si="1"/>
        <v>#DIV/0!</v>
      </c>
      <c r="N46" s="8"/>
      <c r="O46" s="8"/>
      <c r="P46" s="15" t="e">
        <f t="shared" si="2"/>
        <v>#DIV/0!</v>
      </c>
      <c r="Q46" s="10"/>
      <c r="R46" s="359" t="e">
        <f t="shared" si="3"/>
        <v>#DIV/0!</v>
      </c>
      <c r="S46" s="360"/>
      <c r="T46" s="360"/>
      <c r="U46" s="361"/>
      <c r="V46" s="14" t="e">
        <f t="shared" si="4"/>
        <v>#DIV/0!</v>
      </c>
      <c r="W46" s="10"/>
      <c r="X46" s="10"/>
    </row>
    <row r="47" spans="1:24" ht="15.75" customHeight="1" x14ac:dyDescent="0.25">
      <c r="A47" s="38">
        <v>42</v>
      </c>
      <c r="B47" s="67"/>
      <c r="C47" s="26"/>
      <c r="D47" s="8"/>
      <c r="E47" s="8"/>
      <c r="F47" s="8"/>
      <c r="G47" s="8"/>
      <c r="H47" s="8"/>
      <c r="I47" s="8"/>
      <c r="J47" s="15" t="e">
        <f t="shared" si="0"/>
        <v>#DIV/0!</v>
      </c>
      <c r="K47" s="8"/>
      <c r="L47" s="8"/>
      <c r="M47" s="15" t="e">
        <f t="shared" si="1"/>
        <v>#DIV/0!</v>
      </c>
      <c r="N47" s="8"/>
      <c r="O47" s="8"/>
      <c r="P47" s="15" t="e">
        <f t="shared" si="2"/>
        <v>#DIV/0!</v>
      </c>
      <c r="Q47" s="10"/>
      <c r="R47" s="359" t="e">
        <f t="shared" si="3"/>
        <v>#DIV/0!</v>
      </c>
      <c r="S47" s="360"/>
      <c r="T47" s="360"/>
      <c r="U47" s="361"/>
      <c r="V47" s="14" t="e">
        <f t="shared" si="4"/>
        <v>#DIV/0!</v>
      </c>
      <c r="W47" s="10"/>
      <c r="X47" s="10"/>
    </row>
    <row r="48" spans="1:24" ht="15.75" customHeight="1" x14ac:dyDescent="0.25">
      <c r="A48" s="38">
        <v>43</v>
      </c>
      <c r="B48" s="59"/>
      <c r="C48" s="26"/>
      <c r="D48" s="8"/>
      <c r="E48" s="8"/>
      <c r="F48" s="8"/>
      <c r="G48" s="8"/>
      <c r="H48" s="8"/>
      <c r="I48" s="8"/>
      <c r="J48" s="15" t="e">
        <f t="shared" si="0"/>
        <v>#DIV/0!</v>
      </c>
      <c r="K48" s="8"/>
      <c r="L48" s="8"/>
      <c r="M48" s="15" t="e">
        <f t="shared" si="1"/>
        <v>#DIV/0!</v>
      </c>
      <c r="N48" s="8"/>
      <c r="O48" s="8"/>
      <c r="P48" s="15" t="e">
        <f t="shared" si="2"/>
        <v>#DIV/0!</v>
      </c>
      <c r="Q48" s="10"/>
      <c r="R48" s="359" t="e">
        <f t="shared" si="3"/>
        <v>#DIV/0!</v>
      </c>
      <c r="S48" s="360"/>
      <c r="T48" s="360"/>
      <c r="U48" s="361"/>
      <c r="V48" s="14" t="e">
        <f t="shared" si="4"/>
        <v>#DIV/0!</v>
      </c>
      <c r="W48" s="10"/>
      <c r="X48" s="10"/>
    </row>
    <row r="49" spans="1:24" ht="15.75" customHeight="1" x14ac:dyDescent="0.25">
      <c r="A49" s="38">
        <v>44</v>
      </c>
      <c r="B49" s="59"/>
      <c r="C49" s="26"/>
      <c r="D49" s="8"/>
      <c r="E49" s="8"/>
      <c r="F49" s="8"/>
      <c r="G49" s="8"/>
      <c r="H49" s="8"/>
      <c r="I49" s="8"/>
      <c r="J49" s="15" t="e">
        <f t="shared" si="0"/>
        <v>#DIV/0!</v>
      </c>
      <c r="K49" s="8"/>
      <c r="L49" s="8"/>
      <c r="M49" s="15" t="e">
        <f>(AVERAGE(K49:L49))*10%</f>
        <v>#DIV/0!</v>
      </c>
      <c r="N49" s="8"/>
      <c r="O49" s="8"/>
      <c r="P49" s="15" t="e">
        <f t="shared" si="2"/>
        <v>#DIV/0!</v>
      </c>
      <c r="Q49" s="10"/>
      <c r="R49" s="359" t="e">
        <f t="shared" si="3"/>
        <v>#DIV/0!</v>
      </c>
      <c r="S49" s="360"/>
      <c r="T49" s="360"/>
      <c r="U49" s="361"/>
      <c r="V49" s="14" t="e">
        <f t="shared" si="4"/>
        <v>#DIV/0!</v>
      </c>
      <c r="W49" s="10"/>
      <c r="X49" s="10"/>
    </row>
    <row r="50" spans="1:24" ht="15.75" customHeight="1" x14ac:dyDescent="0.25">
      <c r="A50" s="38">
        <v>45</v>
      </c>
      <c r="B50" s="59"/>
      <c r="C50" s="26"/>
      <c r="D50" s="8"/>
      <c r="E50" s="8"/>
      <c r="F50" s="8"/>
      <c r="G50" s="8"/>
      <c r="H50" s="8"/>
      <c r="I50" s="8"/>
      <c r="J50" s="15" t="e">
        <f t="shared" si="0"/>
        <v>#DIV/0!</v>
      </c>
      <c r="K50" s="8"/>
      <c r="L50" s="8"/>
      <c r="M50" s="15" t="e">
        <f t="shared" si="1"/>
        <v>#DIV/0!</v>
      </c>
      <c r="N50" s="8"/>
      <c r="O50" s="8"/>
      <c r="P50" s="15" t="e">
        <f t="shared" si="2"/>
        <v>#DIV/0!</v>
      </c>
      <c r="Q50" s="10"/>
      <c r="R50" s="359" t="e">
        <f t="shared" si="3"/>
        <v>#DIV/0!</v>
      </c>
      <c r="S50" s="360"/>
      <c r="T50" s="360"/>
      <c r="U50" s="361"/>
      <c r="V50" s="14" t="e">
        <f t="shared" si="4"/>
        <v>#DIV/0!</v>
      </c>
      <c r="W50" s="10"/>
      <c r="X50" s="10"/>
    </row>
    <row r="51" spans="1:24" ht="15.75" customHeight="1" x14ac:dyDescent="0.25">
      <c r="A51" s="264"/>
      <c r="B51" s="183"/>
      <c r="C51" s="205"/>
      <c r="D51" s="205"/>
      <c r="E51" s="210"/>
      <c r="F51" s="211"/>
      <c r="G51" s="211"/>
      <c r="H51" s="211"/>
      <c r="I51" s="211"/>
      <c r="J51" s="204"/>
      <c r="K51" s="204"/>
      <c r="L51" s="205"/>
      <c r="M51" s="185"/>
      <c r="N51" s="185"/>
      <c r="O51" s="185"/>
      <c r="P51" s="185"/>
      <c r="Q51" s="187"/>
      <c r="R51" s="188"/>
      <c r="S51" s="189"/>
      <c r="T51" s="190"/>
      <c r="U51" s="194"/>
      <c r="V51" s="285"/>
      <c r="W51" s="255"/>
      <c r="X51" s="181"/>
    </row>
    <row r="52" spans="1:24" ht="60" customHeight="1" thickBot="1" x14ac:dyDescent="0.3">
      <c r="A52" s="265"/>
      <c r="B52" s="269"/>
      <c r="C52" s="258"/>
      <c r="D52" s="258"/>
      <c r="E52" s="268"/>
      <c r="F52" s="271"/>
      <c r="G52" s="271"/>
      <c r="H52" s="271"/>
      <c r="I52" s="271"/>
      <c r="J52" s="273"/>
      <c r="K52" s="273"/>
      <c r="L52" s="258"/>
      <c r="M52" s="260"/>
      <c r="N52" s="260"/>
      <c r="O52" s="260"/>
      <c r="P52" s="260"/>
      <c r="Q52" s="289"/>
      <c r="R52" s="188"/>
      <c r="S52" s="189"/>
      <c r="T52" s="190"/>
      <c r="U52" s="194"/>
      <c r="V52" s="285"/>
      <c r="W52" s="255"/>
      <c r="X52" s="181"/>
    </row>
    <row r="53" spans="1:24" ht="87.75" customHeight="1" thickBot="1" x14ac:dyDescent="0.3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5"/>
      <c r="Q53" s="310"/>
      <c r="R53" s="228"/>
      <c r="S53" s="228"/>
      <c r="T53" s="228"/>
      <c r="U53" s="228"/>
      <c r="V53" s="228"/>
      <c r="W53" s="228"/>
      <c r="X53" s="229"/>
    </row>
    <row r="54" spans="1:24" ht="15.75" thickBot="1" x14ac:dyDescent="0.3">
      <c r="A54" s="218" t="s">
        <v>282</v>
      </c>
      <c r="B54" s="219"/>
      <c r="C54" s="220" t="s">
        <v>931</v>
      </c>
      <c r="D54" s="221"/>
      <c r="E54" s="221"/>
      <c r="F54" s="221"/>
      <c r="G54" s="221"/>
      <c r="H54" s="221"/>
      <c r="I54" s="222"/>
      <c r="J54" s="223" t="s">
        <v>20</v>
      </c>
      <c r="K54" s="224"/>
      <c r="L54" s="224"/>
      <c r="M54" s="224"/>
      <c r="N54" s="225"/>
      <c r="O54" s="225"/>
      <c r="P54" s="225"/>
      <c r="Q54" s="226"/>
      <c r="R54" s="227" t="s">
        <v>150</v>
      </c>
      <c r="S54" s="228"/>
      <c r="T54" s="228"/>
      <c r="U54" s="228"/>
      <c r="V54" s="228"/>
      <c r="W54" s="228"/>
      <c r="X54" s="229"/>
    </row>
    <row r="55" spans="1:24" ht="20.25" customHeight="1" x14ac:dyDescent="0.25">
      <c r="A55" s="230" t="s">
        <v>0</v>
      </c>
      <c r="B55" s="233" t="s">
        <v>1</v>
      </c>
      <c r="C55" s="235" t="s">
        <v>12</v>
      </c>
      <c r="D55" s="235"/>
      <c r="E55" s="235"/>
      <c r="F55" s="235"/>
      <c r="G55" s="235"/>
      <c r="H55" s="235"/>
      <c r="I55" s="235"/>
      <c r="J55" s="235"/>
      <c r="K55" s="236" t="s">
        <v>13</v>
      </c>
      <c r="L55" s="237"/>
      <c r="M55" s="237"/>
      <c r="N55" s="240" t="s">
        <v>15</v>
      </c>
      <c r="O55" s="240"/>
      <c r="P55" s="240"/>
      <c r="Q55" s="241" t="s">
        <v>4</v>
      </c>
      <c r="R55" s="244" t="s">
        <v>11</v>
      </c>
      <c r="S55" s="244"/>
      <c r="T55" s="244"/>
      <c r="U55" s="244"/>
      <c r="V55" s="244"/>
      <c r="W55" s="246" t="s">
        <v>2</v>
      </c>
      <c r="X55" s="247"/>
    </row>
    <row r="56" spans="1:24" ht="15" customHeight="1" x14ac:dyDescent="0.25">
      <c r="A56" s="231"/>
      <c r="B56" s="181"/>
      <c r="C56" s="248" t="s">
        <v>6</v>
      </c>
      <c r="D56" s="248" t="s">
        <v>17</v>
      </c>
      <c r="E56" s="248" t="s">
        <v>5</v>
      </c>
      <c r="F56" s="250"/>
      <c r="G56" s="250"/>
      <c r="H56" s="250"/>
      <c r="I56" s="251" t="s">
        <v>16</v>
      </c>
      <c r="J56" s="350" t="s">
        <v>14</v>
      </c>
      <c r="K56" s="238"/>
      <c r="L56" s="239"/>
      <c r="M56" s="239"/>
      <c r="N56" s="240"/>
      <c r="O56" s="240"/>
      <c r="P56" s="240"/>
      <c r="Q56" s="242"/>
      <c r="R56" s="245"/>
      <c r="S56" s="245"/>
      <c r="T56" s="245"/>
      <c r="U56" s="245"/>
      <c r="V56" s="245"/>
      <c r="W56" s="187"/>
      <c r="X56" s="187"/>
    </row>
    <row r="57" spans="1:24" ht="51.75" customHeight="1" thickBot="1" x14ac:dyDescent="0.3">
      <c r="A57" s="232"/>
      <c r="B57" s="234"/>
      <c r="C57" s="248"/>
      <c r="D57" s="248"/>
      <c r="E57" s="248"/>
      <c r="F57" s="248"/>
      <c r="G57" s="248"/>
      <c r="H57" s="248"/>
      <c r="I57" s="328"/>
      <c r="J57" s="351"/>
      <c r="K57" s="27" t="s">
        <v>9</v>
      </c>
      <c r="L57" s="27" t="s">
        <v>10</v>
      </c>
      <c r="M57" s="43" t="s">
        <v>3</v>
      </c>
      <c r="N57" s="27" t="s">
        <v>9</v>
      </c>
      <c r="O57" s="27" t="s">
        <v>10</v>
      </c>
      <c r="P57" s="25" t="s">
        <v>3</v>
      </c>
      <c r="Q57" s="321"/>
      <c r="R57" s="322" t="s">
        <v>7</v>
      </c>
      <c r="S57" s="323"/>
      <c r="T57" s="323"/>
      <c r="U57" s="324"/>
      <c r="V57" s="28" t="s">
        <v>8</v>
      </c>
      <c r="W57" s="5">
        <v>1</v>
      </c>
      <c r="X57" s="5">
        <v>2</v>
      </c>
    </row>
    <row r="58" spans="1:24" x14ac:dyDescent="0.25">
      <c r="A58" s="38">
        <v>1</v>
      </c>
      <c r="B58" s="67" t="s">
        <v>596</v>
      </c>
      <c r="C58" s="44"/>
      <c r="D58" s="30"/>
      <c r="E58" s="30"/>
      <c r="F58" s="30"/>
      <c r="G58" s="30"/>
      <c r="H58" s="30"/>
      <c r="I58" s="30"/>
      <c r="J58" s="31" t="e">
        <f>((AVERAGE(C58:H58))*72%)+I58*8%</f>
        <v>#DIV/0!</v>
      </c>
      <c r="K58" s="30"/>
      <c r="L58" s="30"/>
      <c r="M58" s="31" t="e">
        <f>(AVERAGE(K58:L58))*10%</f>
        <v>#DIV/0!</v>
      </c>
      <c r="N58" s="30"/>
      <c r="O58" s="30"/>
      <c r="P58" s="31" t="e">
        <f>(AVERAGE(N58:O58))*10%</f>
        <v>#DIV/0!</v>
      </c>
      <c r="Q58" s="30"/>
      <c r="R58" s="367" t="e">
        <f>IF(V58&lt;65,"BAJO",IF(V58&lt;=79,"BASICO",IF(V58&lt;=89,"ALTO",IF(V58&lt;=100,"SUPERIOR"))))</f>
        <v>#DIV/0!</v>
      </c>
      <c r="S58" s="368"/>
      <c r="T58" s="368"/>
      <c r="U58" s="369"/>
      <c r="V58" s="32" t="e">
        <f>J58+M58+P58</f>
        <v>#DIV/0!</v>
      </c>
      <c r="W58" s="24"/>
      <c r="X58" s="10"/>
    </row>
    <row r="59" spans="1:24" x14ac:dyDescent="0.25">
      <c r="A59" s="38">
        <v>2</v>
      </c>
      <c r="B59" s="67" t="s">
        <v>597</v>
      </c>
      <c r="C59" s="45"/>
      <c r="D59" s="8"/>
      <c r="E59" s="8"/>
      <c r="F59" s="8"/>
      <c r="G59" s="8"/>
      <c r="H59" s="8"/>
      <c r="I59" s="9"/>
      <c r="J59" s="15" t="e">
        <f t="shared" ref="J59:J103" si="5">((AVERAGE(C59:H59))*72%)+I59*8%</f>
        <v>#DIV/0!</v>
      </c>
      <c r="K59" s="8"/>
      <c r="L59" s="8"/>
      <c r="M59" s="15" t="e">
        <f t="shared" ref="M59:M100" si="6">(AVERAGE(K59:L59))*10%</f>
        <v>#DIV/0!</v>
      </c>
      <c r="N59" s="8"/>
      <c r="O59" s="8"/>
      <c r="P59" s="15" t="e">
        <f t="shared" ref="P59:P103" si="7">(AVERAGE(N59:O59))*10%</f>
        <v>#DIV/0!</v>
      </c>
      <c r="Q59" s="11"/>
      <c r="R59" s="359" t="e">
        <f t="shared" ref="R59:R103" si="8">IF(V59&lt;65,"BAJO",IF(V59&lt;=79,"BASICO",IF(V59&lt;=89,"ALTO",IF(V59&lt;=100,"SUPERIOR"))))</f>
        <v>#DIV/0!</v>
      </c>
      <c r="S59" s="360"/>
      <c r="T59" s="360"/>
      <c r="U59" s="361"/>
      <c r="V59" s="33" t="e">
        <f t="shared" ref="V59:V103" si="9">J59+M59+P59</f>
        <v>#DIV/0!</v>
      </c>
      <c r="W59" s="24"/>
      <c r="X59" s="10"/>
    </row>
    <row r="60" spans="1:24" x14ac:dyDescent="0.25">
      <c r="A60" s="38">
        <v>3</v>
      </c>
      <c r="B60" s="67" t="s">
        <v>598</v>
      </c>
      <c r="C60" s="45"/>
      <c r="D60" s="8"/>
      <c r="E60" s="8"/>
      <c r="F60" s="8"/>
      <c r="G60" s="8"/>
      <c r="H60" s="8"/>
      <c r="I60" s="9"/>
      <c r="J60" s="15" t="e">
        <f t="shared" si="5"/>
        <v>#DIV/0!</v>
      </c>
      <c r="K60" s="8"/>
      <c r="L60" s="8"/>
      <c r="M60" s="15" t="e">
        <f t="shared" si="6"/>
        <v>#DIV/0!</v>
      </c>
      <c r="N60" s="8"/>
      <c r="O60" s="8"/>
      <c r="P60" s="15" t="e">
        <f t="shared" si="7"/>
        <v>#DIV/0!</v>
      </c>
      <c r="Q60" s="11"/>
      <c r="R60" s="359" t="e">
        <f t="shared" si="8"/>
        <v>#DIV/0!</v>
      </c>
      <c r="S60" s="360"/>
      <c r="T60" s="360"/>
      <c r="U60" s="361"/>
      <c r="V60" s="33" t="e">
        <f t="shared" si="9"/>
        <v>#DIV/0!</v>
      </c>
      <c r="W60" s="24"/>
      <c r="X60" s="10"/>
    </row>
    <row r="61" spans="1:24" x14ac:dyDescent="0.25">
      <c r="A61" s="38">
        <v>4</v>
      </c>
      <c r="B61" s="125" t="s">
        <v>599</v>
      </c>
      <c r="C61" s="45"/>
      <c r="D61" s="8"/>
      <c r="E61" s="8"/>
      <c r="F61" s="8"/>
      <c r="G61" s="8"/>
      <c r="H61" s="8"/>
      <c r="I61" s="8"/>
      <c r="J61" s="15" t="e">
        <f t="shared" si="5"/>
        <v>#DIV/0!</v>
      </c>
      <c r="K61" s="8"/>
      <c r="L61" s="8"/>
      <c r="M61" s="15" t="e">
        <f t="shared" si="6"/>
        <v>#DIV/0!</v>
      </c>
      <c r="N61" s="8"/>
      <c r="O61" s="8"/>
      <c r="P61" s="15" t="e">
        <f t="shared" si="7"/>
        <v>#DIV/0!</v>
      </c>
      <c r="Q61" s="11"/>
      <c r="R61" s="359" t="e">
        <f t="shared" si="8"/>
        <v>#DIV/0!</v>
      </c>
      <c r="S61" s="360"/>
      <c r="T61" s="360"/>
      <c r="U61" s="361"/>
      <c r="V61" s="33" t="e">
        <f t="shared" si="9"/>
        <v>#DIV/0!</v>
      </c>
      <c r="W61" s="24"/>
      <c r="X61" s="10"/>
    </row>
    <row r="62" spans="1:24" x14ac:dyDescent="0.25">
      <c r="A62" s="38">
        <v>5</v>
      </c>
      <c r="B62" s="67" t="s">
        <v>600</v>
      </c>
      <c r="C62" s="45"/>
      <c r="D62" s="8"/>
      <c r="E62" s="8"/>
      <c r="F62" s="8"/>
      <c r="G62" s="8"/>
      <c r="H62" s="8"/>
      <c r="I62" s="8"/>
      <c r="J62" s="15" t="e">
        <f t="shared" si="5"/>
        <v>#DIV/0!</v>
      </c>
      <c r="K62" s="8"/>
      <c r="L62" s="8"/>
      <c r="M62" s="15" t="e">
        <f t="shared" si="6"/>
        <v>#DIV/0!</v>
      </c>
      <c r="N62" s="8"/>
      <c r="O62" s="8"/>
      <c r="P62" s="15" t="e">
        <f t="shared" si="7"/>
        <v>#DIV/0!</v>
      </c>
      <c r="Q62" s="10"/>
      <c r="R62" s="359" t="e">
        <f t="shared" si="8"/>
        <v>#DIV/0!</v>
      </c>
      <c r="S62" s="360"/>
      <c r="T62" s="360"/>
      <c r="U62" s="361"/>
      <c r="V62" s="33" t="e">
        <f t="shared" si="9"/>
        <v>#DIV/0!</v>
      </c>
      <c r="W62" s="24"/>
      <c r="X62" s="10"/>
    </row>
    <row r="63" spans="1:24" x14ac:dyDescent="0.25">
      <c r="A63" s="38">
        <v>6</v>
      </c>
      <c r="B63" s="67" t="s">
        <v>601</v>
      </c>
      <c r="C63" s="45"/>
      <c r="D63" s="8"/>
      <c r="E63" s="8"/>
      <c r="F63" s="8"/>
      <c r="G63" s="8"/>
      <c r="H63" s="8"/>
      <c r="I63" s="8"/>
      <c r="J63" s="15" t="e">
        <f t="shared" si="5"/>
        <v>#DIV/0!</v>
      </c>
      <c r="K63" s="8"/>
      <c r="L63" s="8"/>
      <c r="M63" s="15" t="e">
        <f t="shared" si="6"/>
        <v>#DIV/0!</v>
      </c>
      <c r="N63" s="8"/>
      <c r="O63" s="8"/>
      <c r="P63" s="15" t="e">
        <f t="shared" si="7"/>
        <v>#DIV/0!</v>
      </c>
      <c r="Q63" s="10"/>
      <c r="R63" s="359" t="e">
        <f t="shared" si="8"/>
        <v>#DIV/0!</v>
      </c>
      <c r="S63" s="360"/>
      <c r="T63" s="360"/>
      <c r="U63" s="361"/>
      <c r="V63" s="33" t="e">
        <f t="shared" si="9"/>
        <v>#DIV/0!</v>
      </c>
      <c r="W63" s="24"/>
      <c r="X63" s="10"/>
    </row>
    <row r="64" spans="1:24" x14ac:dyDescent="0.25">
      <c r="A64" s="38">
        <v>7</v>
      </c>
      <c r="B64" s="67" t="s">
        <v>602</v>
      </c>
      <c r="C64" s="45"/>
      <c r="D64" s="8"/>
      <c r="E64" s="8"/>
      <c r="F64" s="8"/>
      <c r="G64" s="8"/>
      <c r="H64" s="8"/>
      <c r="I64" s="8"/>
      <c r="J64" s="15" t="e">
        <f t="shared" si="5"/>
        <v>#DIV/0!</v>
      </c>
      <c r="K64" s="8"/>
      <c r="L64" s="8"/>
      <c r="M64" s="15" t="e">
        <f t="shared" si="6"/>
        <v>#DIV/0!</v>
      </c>
      <c r="N64" s="8"/>
      <c r="O64" s="8"/>
      <c r="P64" s="15" t="e">
        <f t="shared" si="7"/>
        <v>#DIV/0!</v>
      </c>
      <c r="Q64" s="10"/>
      <c r="R64" s="359" t="e">
        <f t="shared" si="8"/>
        <v>#DIV/0!</v>
      </c>
      <c r="S64" s="360"/>
      <c r="T64" s="360"/>
      <c r="U64" s="361"/>
      <c r="V64" s="33" t="e">
        <f t="shared" si="9"/>
        <v>#DIV/0!</v>
      </c>
      <c r="W64" s="24"/>
      <c r="X64" s="10"/>
    </row>
    <row r="65" spans="1:24" x14ac:dyDescent="0.25">
      <c r="A65" s="38">
        <v>8</v>
      </c>
      <c r="B65" s="67" t="s">
        <v>603</v>
      </c>
      <c r="C65" s="45"/>
      <c r="D65" s="8"/>
      <c r="E65" s="8"/>
      <c r="F65" s="8"/>
      <c r="G65" s="8"/>
      <c r="H65" s="8"/>
      <c r="I65" s="8"/>
      <c r="J65" s="15" t="e">
        <f t="shared" si="5"/>
        <v>#DIV/0!</v>
      </c>
      <c r="K65" s="8"/>
      <c r="L65" s="8"/>
      <c r="M65" s="15" t="e">
        <f t="shared" si="6"/>
        <v>#DIV/0!</v>
      </c>
      <c r="N65" s="8"/>
      <c r="O65" s="8"/>
      <c r="P65" s="15" t="e">
        <f t="shared" si="7"/>
        <v>#DIV/0!</v>
      </c>
      <c r="Q65" s="10"/>
      <c r="R65" s="359" t="e">
        <f t="shared" si="8"/>
        <v>#DIV/0!</v>
      </c>
      <c r="S65" s="360"/>
      <c r="T65" s="360"/>
      <c r="U65" s="361"/>
      <c r="V65" s="33" t="e">
        <f t="shared" si="9"/>
        <v>#DIV/0!</v>
      </c>
      <c r="W65" s="24"/>
      <c r="X65" s="10"/>
    </row>
    <row r="66" spans="1:24" x14ac:dyDescent="0.25">
      <c r="A66" s="38">
        <v>9</v>
      </c>
      <c r="B66" s="67" t="s">
        <v>604</v>
      </c>
      <c r="C66" s="45"/>
      <c r="D66" s="8"/>
      <c r="E66" s="8"/>
      <c r="F66" s="8"/>
      <c r="G66" s="8"/>
      <c r="H66" s="8"/>
      <c r="I66" s="8"/>
      <c r="J66" s="15" t="e">
        <f t="shared" si="5"/>
        <v>#DIV/0!</v>
      </c>
      <c r="K66" s="8"/>
      <c r="L66" s="8"/>
      <c r="M66" s="15" t="e">
        <f t="shared" si="6"/>
        <v>#DIV/0!</v>
      </c>
      <c r="N66" s="8"/>
      <c r="O66" s="8"/>
      <c r="P66" s="15" t="e">
        <f t="shared" si="7"/>
        <v>#DIV/0!</v>
      </c>
      <c r="Q66" s="10"/>
      <c r="R66" s="359" t="e">
        <f t="shared" si="8"/>
        <v>#DIV/0!</v>
      </c>
      <c r="S66" s="360"/>
      <c r="T66" s="360"/>
      <c r="U66" s="361"/>
      <c r="V66" s="33" t="e">
        <f t="shared" si="9"/>
        <v>#DIV/0!</v>
      </c>
      <c r="W66" s="24"/>
      <c r="X66" s="10"/>
    </row>
    <row r="67" spans="1:24" x14ac:dyDescent="0.25">
      <c r="A67" s="38">
        <v>10</v>
      </c>
      <c r="B67" s="67" t="s">
        <v>605</v>
      </c>
      <c r="C67" s="45"/>
      <c r="D67" s="8"/>
      <c r="E67" s="8"/>
      <c r="F67" s="8"/>
      <c r="G67" s="8"/>
      <c r="H67" s="8"/>
      <c r="I67" s="8"/>
      <c r="J67" s="15" t="e">
        <f t="shared" si="5"/>
        <v>#DIV/0!</v>
      </c>
      <c r="K67" s="8"/>
      <c r="L67" s="8"/>
      <c r="M67" s="15" t="e">
        <f t="shared" si="6"/>
        <v>#DIV/0!</v>
      </c>
      <c r="N67" s="8"/>
      <c r="O67" s="8"/>
      <c r="P67" s="15" t="e">
        <f t="shared" si="7"/>
        <v>#DIV/0!</v>
      </c>
      <c r="Q67" s="10"/>
      <c r="R67" s="359" t="e">
        <f t="shared" si="8"/>
        <v>#DIV/0!</v>
      </c>
      <c r="S67" s="360"/>
      <c r="T67" s="360"/>
      <c r="U67" s="361"/>
      <c r="V67" s="33" t="e">
        <f t="shared" si="9"/>
        <v>#DIV/0!</v>
      </c>
      <c r="W67" s="24"/>
      <c r="X67" s="10"/>
    </row>
    <row r="68" spans="1:24" x14ac:dyDescent="0.25">
      <c r="A68" s="38">
        <v>11</v>
      </c>
      <c r="B68" s="67" t="s">
        <v>606</v>
      </c>
      <c r="C68" s="45"/>
      <c r="D68" s="8"/>
      <c r="E68" s="8"/>
      <c r="F68" s="8"/>
      <c r="G68" s="8"/>
      <c r="H68" s="8"/>
      <c r="I68" s="8"/>
      <c r="J68" s="15" t="e">
        <f t="shared" si="5"/>
        <v>#DIV/0!</v>
      </c>
      <c r="K68" s="8"/>
      <c r="L68" s="8"/>
      <c r="M68" s="15" t="e">
        <f t="shared" si="6"/>
        <v>#DIV/0!</v>
      </c>
      <c r="N68" s="8"/>
      <c r="O68" s="8"/>
      <c r="P68" s="15" t="e">
        <f t="shared" si="7"/>
        <v>#DIV/0!</v>
      </c>
      <c r="Q68" s="10"/>
      <c r="R68" s="359" t="e">
        <f t="shared" si="8"/>
        <v>#DIV/0!</v>
      </c>
      <c r="S68" s="360"/>
      <c r="T68" s="360"/>
      <c r="U68" s="361"/>
      <c r="V68" s="33" t="e">
        <f t="shared" si="9"/>
        <v>#DIV/0!</v>
      </c>
      <c r="W68" s="24"/>
      <c r="X68" s="10"/>
    </row>
    <row r="69" spans="1:24" x14ac:dyDescent="0.25">
      <c r="A69" s="38">
        <v>12</v>
      </c>
      <c r="B69" s="67" t="s">
        <v>607</v>
      </c>
      <c r="C69" s="45"/>
      <c r="D69" s="8"/>
      <c r="E69" s="8"/>
      <c r="F69" s="8"/>
      <c r="G69" s="8"/>
      <c r="H69" s="8"/>
      <c r="I69" s="8"/>
      <c r="J69" s="15" t="e">
        <f t="shared" si="5"/>
        <v>#DIV/0!</v>
      </c>
      <c r="K69" s="8"/>
      <c r="L69" s="8"/>
      <c r="M69" s="15" t="e">
        <f t="shared" si="6"/>
        <v>#DIV/0!</v>
      </c>
      <c r="N69" s="8"/>
      <c r="O69" s="8"/>
      <c r="P69" s="15" t="e">
        <f t="shared" si="7"/>
        <v>#DIV/0!</v>
      </c>
      <c r="Q69" s="10"/>
      <c r="R69" s="359" t="e">
        <f t="shared" si="8"/>
        <v>#DIV/0!</v>
      </c>
      <c r="S69" s="360"/>
      <c r="T69" s="360"/>
      <c r="U69" s="361"/>
      <c r="V69" s="33" t="e">
        <f t="shared" si="9"/>
        <v>#DIV/0!</v>
      </c>
      <c r="W69" s="24"/>
      <c r="X69" s="10"/>
    </row>
    <row r="70" spans="1:24" x14ac:dyDescent="0.25">
      <c r="A70" s="38">
        <v>13</v>
      </c>
      <c r="B70" s="67" t="s">
        <v>608</v>
      </c>
      <c r="C70" s="45"/>
      <c r="D70" s="8"/>
      <c r="E70" s="8"/>
      <c r="F70" s="8"/>
      <c r="G70" s="8"/>
      <c r="H70" s="8"/>
      <c r="I70" s="8"/>
      <c r="J70" s="15" t="e">
        <f t="shared" si="5"/>
        <v>#DIV/0!</v>
      </c>
      <c r="K70" s="8"/>
      <c r="L70" s="8"/>
      <c r="M70" s="15" t="e">
        <f t="shared" si="6"/>
        <v>#DIV/0!</v>
      </c>
      <c r="N70" s="8"/>
      <c r="O70" s="8"/>
      <c r="P70" s="15" t="e">
        <f t="shared" si="7"/>
        <v>#DIV/0!</v>
      </c>
      <c r="Q70" s="10"/>
      <c r="R70" s="359" t="e">
        <f t="shared" si="8"/>
        <v>#DIV/0!</v>
      </c>
      <c r="S70" s="360"/>
      <c r="T70" s="360"/>
      <c r="U70" s="361"/>
      <c r="V70" s="33" t="e">
        <f t="shared" si="9"/>
        <v>#DIV/0!</v>
      </c>
      <c r="W70" s="24"/>
      <c r="X70" s="10"/>
    </row>
    <row r="71" spans="1:24" x14ac:dyDescent="0.25">
      <c r="A71" s="38">
        <v>14</v>
      </c>
      <c r="B71" s="67" t="s">
        <v>711</v>
      </c>
      <c r="C71" s="45"/>
      <c r="D71" s="8"/>
      <c r="E71" s="8"/>
      <c r="F71" s="8"/>
      <c r="G71" s="8"/>
      <c r="H71" s="8"/>
      <c r="I71" s="8"/>
      <c r="J71" s="15" t="e">
        <f t="shared" si="5"/>
        <v>#DIV/0!</v>
      </c>
      <c r="K71" s="8"/>
      <c r="L71" s="8"/>
      <c r="M71" s="15" t="e">
        <f t="shared" si="6"/>
        <v>#DIV/0!</v>
      </c>
      <c r="N71" s="8"/>
      <c r="O71" s="8"/>
      <c r="P71" s="15" t="e">
        <f t="shared" si="7"/>
        <v>#DIV/0!</v>
      </c>
      <c r="Q71" s="10"/>
      <c r="R71" s="359" t="e">
        <f t="shared" si="8"/>
        <v>#DIV/0!</v>
      </c>
      <c r="S71" s="360"/>
      <c r="T71" s="360"/>
      <c r="U71" s="361"/>
      <c r="V71" s="33" t="e">
        <f t="shared" si="9"/>
        <v>#DIV/0!</v>
      </c>
      <c r="W71" s="24"/>
      <c r="X71" s="10"/>
    </row>
    <row r="72" spans="1:24" x14ac:dyDescent="0.25">
      <c r="A72" s="38">
        <v>15</v>
      </c>
      <c r="B72" s="67" t="s">
        <v>609</v>
      </c>
      <c r="C72" s="45"/>
      <c r="D72" s="8"/>
      <c r="E72" s="8"/>
      <c r="F72" s="8"/>
      <c r="G72" s="8"/>
      <c r="H72" s="8"/>
      <c r="I72" s="8"/>
      <c r="J72" s="15" t="e">
        <f t="shared" si="5"/>
        <v>#DIV/0!</v>
      </c>
      <c r="K72" s="8"/>
      <c r="L72" s="8"/>
      <c r="M72" s="15" t="e">
        <f t="shared" si="6"/>
        <v>#DIV/0!</v>
      </c>
      <c r="N72" s="8"/>
      <c r="O72" s="8"/>
      <c r="P72" s="15" t="e">
        <f t="shared" si="7"/>
        <v>#DIV/0!</v>
      </c>
      <c r="Q72" s="10"/>
      <c r="R72" s="359" t="e">
        <f t="shared" si="8"/>
        <v>#DIV/0!</v>
      </c>
      <c r="S72" s="360"/>
      <c r="T72" s="360"/>
      <c r="U72" s="361"/>
      <c r="V72" s="33" t="e">
        <f t="shared" si="9"/>
        <v>#DIV/0!</v>
      </c>
      <c r="W72" s="24"/>
      <c r="X72" s="10"/>
    </row>
    <row r="73" spans="1:24" ht="15.75" customHeight="1" x14ac:dyDescent="0.25">
      <c r="A73" s="38">
        <v>16</v>
      </c>
      <c r="B73" s="67" t="s">
        <v>610</v>
      </c>
      <c r="C73" s="45"/>
      <c r="D73" s="8"/>
      <c r="E73" s="8"/>
      <c r="F73" s="8"/>
      <c r="G73" s="8"/>
      <c r="H73" s="8"/>
      <c r="I73" s="8"/>
      <c r="J73" s="15" t="e">
        <f t="shared" si="5"/>
        <v>#DIV/0!</v>
      </c>
      <c r="K73" s="8"/>
      <c r="L73" s="8"/>
      <c r="M73" s="15" t="e">
        <f t="shared" si="6"/>
        <v>#DIV/0!</v>
      </c>
      <c r="N73" s="8"/>
      <c r="O73" s="8"/>
      <c r="P73" s="15" t="e">
        <f t="shared" si="7"/>
        <v>#DIV/0!</v>
      </c>
      <c r="Q73" s="10"/>
      <c r="R73" s="359" t="e">
        <f t="shared" si="8"/>
        <v>#DIV/0!</v>
      </c>
      <c r="S73" s="360"/>
      <c r="T73" s="360"/>
      <c r="U73" s="361"/>
      <c r="V73" s="33" t="e">
        <f t="shared" si="9"/>
        <v>#DIV/0!</v>
      </c>
      <c r="W73" s="24"/>
      <c r="X73" s="10"/>
    </row>
    <row r="74" spans="1:24" ht="15.75" customHeight="1" x14ac:dyDescent="0.25">
      <c r="A74" s="38">
        <v>17</v>
      </c>
      <c r="B74" s="67" t="s">
        <v>611</v>
      </c>
      <c r="C74" s="45"/>
      <c r="D74" s="8"/>
      <c r="E74" s="8"/>
      <c r="F74" s="8"/>
      <c r="G74" s="8"/>
      <c r="H74" s="8"/>
      <c r="I74" s="13"/>
      <c r="J74" s="15" t="e">
        <f t="shared" si="5"/>
        <v>#DIV/0!</v>
      </c>
      <c r="K74" s="8"/>
      <c r="L74" s="8"/>
      <c r="M74" s="15" t="e">
        <f t="shared" si="6"/>
        <v>#DIV/0!</v>
      </c>
      <c r="N74" s="8"/>
      <c r="O74" s="8"/>
      <c r="P74" s="15" t="e">
        <f t="shared" si="7"/>
        <v>#DIV/0!</v>
      </c>
      <c r="Q74" s="10"/>
      <c r="R74" s="359" t="e">
        <f t="shared" si="8"/>
        <v>#DIV/0!</v>
      </c>
      <c r="S74" s="360"/>
      <c r="T74" s="360"/>
      <c r="U74" s="361"/>
      <c r="V74" s="33" t="e">
        <f t="shared" si="9"/>
        <v>#DIV/0!</v>
      </c>
      <c r="W74" s="24"/>
      <c r="X74" s="10"/>
    </row>
    <row r="75" spans="1:24" ht="15.75" customHeight="1" x14ac:dyDescent="0.25">
      <c r="A75" s="38">
        <v>18</v>
      </c>
      <c r="B75" s="67" t="s">
        <v>612</v>
      </c>
      <c r="C75" s="45"/>
      <c r="D75" s="8"/>
      <c r="E75" s="8"/>
      <c r="F75" s="8"/>
      <c r="G75" s="8"/>
      <c r="H75" s="8"/>
      <c r="I75" s="8"/>
      <c r="J75" s="15" t="e">
        <f t="shared" si="5"/>
        <v>#DIV/0!</v>
      </c>
      <c r="K75" s="8"/>
      <c r="L75" s="8"/>
      <c r="M75" s="15" t="e">
        <f t="shared" si="6"/>
        <v>#DIV/0!</v>
      </c>
      <c r="N75" s="8"/>
      <c r="O75" s="8"/>
      <c r="P75" s="15" t="e">
        <f t="shared" si="7"/>
        <v>#DIV/0!</v>
      </c>
      <c r="Q75" s="10"/>
      <c r="R75" s="359" t="e">
        <f t="shared" si="8"/>
        <v>#DIV/0!</v>
      </c>
      <c r="S75" s="360"/>
      <c r="T75" s="360"/>
      <c r="U75" s="361"/>
      <c r="V75" s="33" t="e">
        <f t="shared" si="9"/>
        <v>#DIV/0!</v>
      </c>
      <c r="W75" s="24"/>
      <c r="X75" s="10"/>
    </row>
    <row r="76" spans="1:24" ht="15.75" customHeight="1" x14ac:dyDescent="0.25">
      <c r="A76" s="38">
        <v>19</v>
      </c>
      <c r="B76" s="67" t="s">
        <v>613</v>
      </c>
      <c r="C76" s="45"/>
      <c r="D76" s="8"/>
      <c r="E76" s="8"/>
      <c r="F76" s="8"/>
      <c r="G76" s="8"/>
      <c r="H76" s="8"/>
      <c r="I76" s="8"/>
      <c r="J76" s="15" t="e">
        <f t="shared" si="5"/>
        <v>#DIV/0!</v>
      </c>
      <c r="K76" s="8"/>
      <c r="L76" s="8"/>
      <c r="M76" s="15" t="e">
        <f t="shared" si="6"/>
        <v>#DIV/0!</v>
      </c>
      <c r="N76" s="8"/>
      <c r="O76" s="8"/>
      <c r="P76" s="15" t="e">
        <f t="shared" si="7"/>
        <v>#DIV/0!</v>
      </c>
      <c r="Q76" s="10"/>
      <c r="R76" s="359" t="e">
        <f t="shared" si="8"/>
        <v>#DIV/0!</v>
      </c>
      <c r="S76" s="360"/>
      <c r="T76" s="360"/>
      <c r="U76" s="361"/>
      <c r="V76" s="33" t="e">
        <f t="shared" si="9"/>
        <v>#DIV/0!</v>
      </c>
      <c r="W76" s="24"/>
      <c r="X76" s="10"/>
    </row>
    <row r="77" spans="1:24" ht="15.75" customHeight="1" x14ac:dyDescent="0.25">
      <c r="A77" s="38">
        <v>20</v>
      </c>
      <c r="B77" s="67" t="s">
        <v>614</v>
      </c>
      <c r="C77" s="45"/>
      <c r="D77" s="8"/>
      <c r="E77" s="8"/>
      <c r="F77" s="8"/>
      <c r="G77" s="8"/>
      <c r="H77" s="8"/>
      <c r="I77" s="8"/>
      <c r="J77" s="15" t="e">
        <f t="shared" si="5"/>
        <v>#DIV/0!</v>
      </c>
      <c r="K77" s="8"/>
      <c r="L77" s="8"/>
      <c r="M77" s="15" t="e">
        <f t="shared" si="6"/>
        <v>#DIV/0!</v>
      </c>
      <c r="N77" s="8"/>
      <c r="O77" s="8"/>
      <c r="P77" s="15" t="e">
        <f t="shared" si="7"/>
        <v>#DIV/0!</v>
      </c>
      <c r="Q77" s="10"/>
      <c r="R77" s="359" t="e">
        <f t="shared" si="8"/>
        <v>#DIV/0!</v>
      </c>
      <c r="S77" s="360"/>
      <c r="T77" s="360"/>
      <c r="U77" s="361"/>
      <c r="V77" s="33" t="e">
        <f t="shared" si="9"/>
        <v>#DIV/0!</v>
      </c>
      <c r="W77" s="24"/>
      <c r="X77" s="10"/>
    </row>
    <row r="78" spans="1:24" ht="15.75" customHeight="1" x14ac:dyDescent="0.25">
      <c r="A78" s="38">
        <v>21</v>
      </c>
      <c r="B78" s="67" t="s">
        <v>617</v>
      </c>
      <c r="C78" s="45"/>
      <c r="D78" s="8"/>
      <c r="E78" s="8"/>
      <c r="F78" s="8"/>
      <c r="G78" s="8"/>
      <c r="H78" s="8"/>
      <c r="I78" s="8"/>
      <c r="J78" s="15" t="e">
        <f t="shared" si="5"/>
        <v>#DIV/0!</v>
      </c>
      <c r="K78" s="8"/>
      <c r="L78" s="8"/>
      <c r="M78" s="15" t="e">
        <f t="shared" si="6"/>
        <v>#DIV/0!</v>
      </c>
      <c r="N78" s="8"/>
      <c r="O78" s="8"/>
      <c r="P78" s="15" t="e">
        <f t="shared" si="7"/>
        <v>#DIV/0!</v>
      </c>
      <c r="Q78" s="10"/>
      <c r="R78" s="359" t="e">
        <f t="shared" si="8"/>
        <v>#DIV/0!</v>
      </c>
      <c r="S78" s="360"/>
      <c r="T78" s="360"/>
      <c r="U78" s="361"/>
      <c r="V78" s="33" t="e">
        <f t="shared" si="9"/>
        <v>#DIV/0!</v>
      </c>
      <c r="W78" s="24"/>
      <c r="X78" s="10"/>
    </row>
    <row r="79" spans="1:24" ht="15.75" customHeight="1" x14ac:dyDescent="0.25">
      <c r="A79" s="38">
        <v>22</v>
      </c>
      <c r="B79" s="67" t="s">
        <v>618</v>
      </c>
      <c r="C79" s="45"/>
      <c r="D79" s="8"/>
      <c r="E79" s="8"/>
      <c r="F79" s="8"/>
      <c r="G79" s="8"/>
      <c r="H79" s="8"/>
      <c r="I79" s="8"/>
      <c r="J79" s="15" t="e">
        <f t="shared" si="5"/>
        <v>#DIV/0!</v>
      </c>
      <c r="K79" s="8"/>
      <c r="L79" s="8"/>
      <c r="M79" s="15" t="e">
        <f t="shared" si="6"/>
        <v>#DIV/0!</v>
      </c>
      <c r="N79" s="8"/>
      <c r="O79" s="8"/>
      <c r="P79" s="15" t="e">
        <f t="shared" si="7"/>
        <v>#DIV/0!</v>
      </c>
      <c r="Q79" s="10"/>
      <c r="R79" s="359" t="e">
        <f t="shared" si="8"/>
        <v>#DIV/0!</v>
      </c>
      <c r="S79" s="360"/>
      <c r="T79" s="360"/>
      <c r="U79" s="361"/>
      <c r="V79" s="33" t="e">
        <f t="shared" si="9"/>
        <v>#DIV/0!</v>
      </c>
      <c r="W79" s="24"/>
      <c r="X79" s="10"/>
    </row>
    <row r="80" spans="1:24" ht="15.75" customHeight="1" x14ac:dyDescent="0.25">
      <c r="A80" s="38">
        <v>23</v>
      </c>
      <c r="B80" s="67" t="s">
        <v>619</v>
      </c>
      <c r="C80" s="45"/>
      <c r="D80" s="8"/>
      <c r="E80" s="8"/>
      <c r="F80" s="8"/>
      <c r="G80" s="8"/>
      <c r="H80" s="8"/>
      <c r="I80" s="8"/>
      <c r="J80" s="15" t="e">
        <f t="shared" si="5"/>
        <v>#DIV/0!</v>
      </c>
      <c r="K80" s="8"/>
      <c r="L80" s="8"/>
      <c r="M80" s="15" t="e">
        <f t="shared" si="6"/>
        <v>#DIV/0!</v>
      </c>
      <c r="N80" s="8"/>
      <c r="O80" s="8"/>
      <c r="P80" s="15" t="e">
        <f t="shared" si="7"/>
        <v>#DIV/0!</v>
      </c>
      <c r="Q80" s="10"/>
      <c r="R80" s="359" t="e">
        <f t="shared" si="8"/>
        <v>#DIV/0!</v>
      </c>
      <c r="S80" s="360"/>
      <c r="T80" s="360"/>
      <c r="U80" s="361"/>
      <c r="V80" s="33" t="e">
        <f t="shared" si="9"/>
        <v>#DIV/0!</v>
      </c>
      <c r="W80" s="24"/>
      <c r="X80" s="10"/>
    </row>
    <row r="81" spans="1:24" ht="15.75" customHeight="1" x14ac:dyDescent="0.25">
      <c r="A81" s="38">
        <v>24</v>
      </c>
      <c r="B81" s="67" t="s">
        <v>620</v>
      </c>
      <c r="C81" s="45"/>
      <c r="D81" s="8"/>
      <c r="E81" s="8"/>
      <c r="F81" s="8"/>
      <c r="G81" s="8"/>
      <c r="H81" s="8"/>
      <c r="I81" s="8"/>
      <c r="J81" s="15" t="e">
        <f t="shared" si="5"/>
        <v>#DIV/0!</v>
      </c>
      <c r="K81" s="8"/>
      <c r="L81" s="8"/>
      <c r="M81" s="15" t="e">
        <f t="shared" si="6"/>
        <v>#DIV/0!</v>
      </c>
      <c r="N81" s="8"/>
      <c r="O81" s="8"/>
      <c r="P81" s="15" t="e">
        <f t="shared" si="7"/>
        <v>#DIV/0!</v>
      </c>
      <c r="Q81" s="10"/>
      <c r="R81" s="359" t="e">
        <f t="shared" si="8"/>
        <v>#DIV/0!</v>
      </c>
      <c r="S81" s="360"/>
      <c r="T81" s="360"/>
      <c r="U81" s="361"/>
      <c r="V81" s="33" t="e">
        <f t="shared" si="9"/>
        <v>#DIV/0!</v>
      </c>
      <c r="W81" s="24"/>
      <c r="X81" s="10"/>
    </row>
    <row r="82" spans="1:24" ht="15.75" customHeight="1" x14ac:dyDescent="0.25">
      <c r="A82" s="38">
        <v>25</v>
      </c>
      <c r="B82" s="67" t="s">
        <v>621</v>
      </c>
      <c r="C82" s="45"/>
      <c r="D82" s="8"/>
      <c r="E82" s="8"/>
      <c r="F82" s="8"/>
      <c r="G82" s="8"/>
      <c r="H82" s="8"/>
      <c r="I82" s="8"/>
      <c r="J82" s="15" t="e">
        <f t="shared" si="5"/>
        <v>#DIV/0!</v>
      </c>
      <c r="K82" s="8"/>
      <c r="L82" s="8"/>
      <c r="M82" s="15" t="e">
        <f t="shared" si="6"/>
        <v>#DIV/0!</v>
      </c>
      <c r="N82" s="8"/>
      <c r="O82" s="8"/>
      <c r="P82" s="15" t="e">
        <f t="shared" si="7"/>
        <v>#DIV/0!</v>
      </c>
      <c r="Q82" s="10"/>
      <c r="R82" s="359" t="e">
        <f t="shared" si="8"/>
        <v>#DIV/0!</v>
      </c>
      <c r="S82" s="360"/>
      <c r="T82" s="360"/>
      <c r="U82" s="361"/>
      <c r="V82" s="33" t="e">
        <f t="shared" si="9"/>
        <v>#DIV/0!</v>
      </c>
      <c r="W82" s="24"/>
      <c r="X82" s="10"/>
    </row>
    <row r="83" spans="1:24" ht="15.75" customHeight="1" x14ac:dyDescent="0.25">
      <c r="A83" s="38">
        <v>26</v>
      </c>
      <c r="B83" s="67" t="s">
        <v>622</v>
      </c>
      <c r="C83" s="45"/>
      <c r="D83" s="8"/>
      <c r="E83" s="8"/>
      <c r="F83" s="8"/>
      <c r="G83" s="8"/>
      <c r="H83" s="8"/>
      <c r="I83" s="8"/>
      <c r="J83" s="15" t="e">
        <f t="shared" si="5"/>
        <v>#DIV/0!</v>
      </c>
      <c r="K83" s="8"/>
      <c r="L83" s="8"/>
      <c r="M83" s="15" t="e">
        <f t="shared" si="6"/>
        <v>#DIV/0!</v>
      </c>
      <c r="N83" s="8"/>
      <c r="O83" s="8"/>
      <c r="P83" s="15" t="e">
        <f t="shared" si="7"/>
        <v>#DIV/0!</v>
      </c>
      <c r="Q83" s="10"/>
      <c r="R83" s="359" t="e">
        <f t="shared" si="8"/>
        <v>#DIV/0!</v>
      </c>
      <c r="S83" s="360"/>
      <c r="T83" s="360"/>
      <c r="U83" s="361"/>
      <c r="V83" s="33" t="e">
        <f t="shared" si="9"/>
        <v>#DIV/0!</v>
      </c>
      <c r="W83" s="24"/>
      <c r="X83" s="10"/>
    </row>
    <row r="84" spans="1:24" ht="15.75" customHeight="1" x14ac:dyDescent="0.25">
      <c r="A84" s="38">
        <v>27</v>
      </c>
      <c r="B84" s="67" t="s">
        <v>623</v>
      </c>
      <c r="C84" s="45"/>
      <c r="D84" s="8"/>
      <c r="E84" s="8"/>
      <c r="F84" s="8"/>
      <c r="G84" s="8"/>
      <c r="H84" s="8"/>
      <c r="I84" s="8"/>
      <c r="J84" s="15" t="e">
        <f t="shared" si="5"/>
        <v>#DIV/0!</v>
      </c>
      <c r="K84" s="8"/>
      <c r="L84" s="8"/>
      <c r="M84" s="15" t="e">
        <f t="shared" si="6"/>
        <v>#DIV/0!</v>
      </c>
      <c r="N84" s="8"/>
      <c r="O84" s="8"/>
      <c r="P84" s="15" t="e">
        <f t="shared" si="7"/>
        <v>#DIV/0!</v>
      </c>
      <c r="Q84" s="10"/>
      <c r="R84" s="359" t="e">
        <f t="shared" si="8"/>
        <v>#DIV/0!</v>
      </c>
      <c r="S84" s="360"/>
      <c r="T84" s="360"/>
      <c r="U84" s="361"/>
      <c r="V84" s="33" t="e">
        <f t="shared" si="9"/>
        <v>#DIV/0!</v>
      </c>
      <c r="W84" s="24"/>
      <c r="X84" s="10"/>
    </row>
    <row r="85" spans="1:24" ht="15.75" customHeight="1" x14ac:dyDescent="0.25">
      <c r="A85" s="38">
        <v>28</v>
      </c>
      <c r="B85" s="67" t="s">
        <v>624</v>
      </c>
      <c r="C85" s="45"/>
      <c r="D85" s="8"/>
      <c r="E85" s="8"/>
      <c r="F85" s="8"/>
      <c r="G85" s="8"/>
      <c r="H85" s="8"/>
      <c r="I85" s="8"/>
      <c r="J85" s="15" t="e">
        <f t="shared" si="5"/>
        <v>#DIV/0!</v>
      </c>
      <c r="K85" s="8"/>
      <c r="L85" s="8"/>
      <c r="M85" s="15" t="e">
        <f t="shared" si="6"/>
        <v>#DIV/0!</v>
      </c>
      <c r="N85" s="8"/>
      <c r="O85" s="8"/>
      <c r="P85" s="15" t="e">
        <f t="shared" si="7"/>
        <v>#DIV/0!</v>
      </c>
      <c r="Q85" s="10"/>
      <c r="R85" s="359" t="e">
        <f t="shared" si="8"/>
        <v>#DIV/0!</v>
      </c>
      <c r="S85" s="360"/>
      <c r="T85" s="360"/>
      <c r="U85" s="361"/>
      <c r="V85" s="33" t="e">
        <f t="shared" si="9"/>
        <v>#DIV/0!</v>
      </c>
      <c r="W85" s="24"/>
      <c r="X85" s="10"/>
    </row>
    <row r="86" spans="1:24" ht="15.75" customHeight="1" x14ac:dyDescent="0.25">
      <c r="A86" s="38">
        <v>29</v>
      </c>
      <c r="B86" s="67" t="s">
        <v>625</v>
      </c>
      <c r="C86" s="45"/>
      <c r="D86" s="8"/>
      <c r="E86" s="8"/>
      <c r="F86" s="8"/>
      <c r="G86" s="8"/>
      <c r="H86" s="8"/>
      <c r="I86" s="8"/>
      <c r="J86" s="15" t="e">
        <f t="shared" si="5"/>
        <v>#DIV/0!</v>
      </c>
      <c r="K86" s="8"/>
      <c r="L86" s="8"/>
      <c r="M86" s="15" t="e">
        <f t="shared" si="6"/>
        <v>#DIV/0!</v>
      </c>
      <c r="N86" s="8"/>
      <c r="O86" s="8"/>
      <c r="P86" s="15" t="e">
        <f t="shared" si="7"/>
        <v>#DIV/0!</v>
      </c>
      <c r="Q86" s="10"/>
      <c r="R86" s="359" t="e">
        <f t="shared" si="8"/>
        <v>#DIV/0!</v>
      </c>
      <c r="S86" s="360"/>
      <c r="T86" s="360"/>
      <c r="U86" s="361"/>
      <c r="V86" s="33" t="e">
        <f t="shared" si="9"/>
        <v>#DIV/0!</v>
      </c>
      <c r="W86" s="24"/>
      <c r="X86" s="10"/>
    </row>
    <row r="87" spans="1:24" ht="15.75" customHeight="1" x14ac:dyDescent="0.25">
      <c r="A87" s="38">
        <v>30</v>
      </c>
      <c r="B87" s="67" t="s">
        <v>626</v>
      </c>
      <c r="C87" s="45"/>
      <c r="D87" s="8"/>
      <c r="E87" s="8"/>
      <c r="F87" s="8"/>
      <c r="G87" s="8"/>
      <c r="H87" s="8"/>
      <c r="I87" s="8"/>
      <c r="J87" s="15" t="e">
        <f t="shared" si="5"/>
        <v>#DIV/0!</v>
      </c>
      <c r="K87" s="8"/>
      <c r="L87" s="8"/>
      <c r="M87" s="15" t="e">
        <f t="shared" si="6"/>
        <v>#DIV/0!</v>
      </c>
      <c r="N87" s="8"/>
      <c r="O87" s="8"/>
      <c r="P87" s="15" t="e">
        <f t="shared" si="7"/>
        <v>#DIV/0!</v>
      </c>
      <c r="Q87" s="10"/>
      <c r="R87" s="359" t="e">
        <f t="shared" si="8"/>
        <v>#DIV/0!</v>
      </c>
      <c r="S87" s="360"/>
      <c r="T87" s="360"/>
      <c r="U87" s="361"/>
      <c r="V87" s="33" t="e">
        <f t="shared" si="9"/>
        <v>#DIV/0!</v>
      </c>
      <c r="W87" s="24"/>
      <c r="X87" s="10"/>
    </row>
    <row r="88" spans="1:24" ht="15.75" customHeight="1" x14ac:dyDescent="0.25">
      <c r="A88" s="38">
        <v>31</v>
      </c>
      <c r="B88" s="67" t="s">
        <v>627</v>
      </c>
      <c r="C88" s="45"/>
      <c r="D88" s="8"/>
      <c r="E88" s="8"/>
      <c r="F88" s="8"/>
      <c r="G88" s="8"/>
      <c r="H88" s="8"/>
      <c r="I88" s="8"/>
      <c r="J88" s="15" t="e">
        <f t="shared" si="5"/>
        <v>#DIV/0!</v>
      </c>
      <c r="K88" s="8"/>
      <c r="L88" s="8"/>
      <c r="M88" s="15" t="e">
        <f t="shared" si="6"/>
        <v>#DIV/0!</v>
      </c>
      <c r="N88" s="8"/>
      <c r="O88" s="8"/>
      <c r="P88" s="15" t="e">
        <f t="shared" si="7"/>
        <v>#DIV/0!</v>
      </c>
      <c r="Q88" s="10"/>
      <c r="R88" s="359" t="e">
        <f t="shared" si="8"/>
        <v>#DIV/0!</v>
      </c>
      <c r="S88" s="360"/>
      <c r="T88" s="360"/>
      <c r="U88" s="361"/>
      <c r="V88" s="33" t="e">
        <f t="shared" si="9"/>
        <v>#DIV/0!</v>
      </c>
      <c r="W88" s="24"/>
      <c r="X88" s="10"/>
    </row>
    <row r="89" spans="1:24" ht="15.75" customHeight="1" x14ac:dyDescent="0.25">
      <c r="A89" s="38">
        <v>32</v>
      </c>
      <c r="B89" s="67" t="s">
        <v>628</v>
      </c>
      <c r="C89" s="45"/>
      <c r="D89" s="8"/>
      <c r="E89" s="8"/>
      <c r="F89" s="8"/>
      <c r="G89" s="8"/>
      <c r="H89" s="8"/>
      <c r="I89" s="8"/>
      <c r="J89" s="15" t="e">
        <f t="shared" si="5"/>
        <v>#DIV/0!</v>
      </c>
      <c r="K89" s="8"/>
      <c r="L89" s="8"/>
      <c r="M89" s="15" t="e">
        <f t="shared" si="6"/>
        <v>#DIV/0!</v>
      </c>
      <c r="N89" s="8"/>
      <c r="O89" s="8"/>
      <c r="P89" s="15" t="e">
        <f t="shared" si="7"/>
        <v>#DIV/0!</v>
      </c>
      <c r="Q89" s="10"/>
      <c r="R89" s="359" t="e">
        <f t="shared" si="8"/>
        <v>#DIV/0!</v>
      </c>
      <c r="S89" s="360"/>
      <c r="T89" s="360"/>
      <c r="U89" s="361"/>
      <c r="V89" s="33" t="e">
        <f t="shared" si="9"/>
        <v>#DIV/0!</v>
      </c>
      <c r="W89" s="24"/>
      <c r="X89" s="10"/>
    </row>
    <row r="90" spans="1:24" ht="15.75" customHeight="1" x14ac:dyDescent="0.25">
      <c r="A90" s="38">
        <v>33</v>
      </c>
      <c r="B90" s="67" t="s">
        <v>629</v>
      </c>
      <c r="C90" s="45"/>
      <c r="D90" s="8"/>
      <c r="E90" s="8"/>
      <c r="F90" s="8"/>
      <c r="G90" s="8"/>
      <c r="H90" s="8"/>
      <c r="I90" s="8"/>
      <c r="J90" s="15" t="e">
        <f t="shared" si="5"/>
        <v>#DIV/0!</v>
      </c>
      <c r="K90" s="8"/>
      <c r="L90" s="8"/>
      <c r="M90" s="15" t="e">
        <f t="shared" si="6"/>
        <v>#DIV/0!</v>
      </c>
      <c r="N90" s="8"/>
      <c r="O90" s="8"/>
      <c r="P90" s="15" t="e">
        <f t="shared" si="7"/>
        <v>#DIV/0!</v>
      </c>
      <c r="Q90" s="10"/>
      <c r="R90" s="359" t="e">
        <f t="shared" si="8"/>
        <v>#DIV/0!</v>
      </c>
      <c r="S90" s="360"/>
      <c r="T90" s="360"/>
      <c r="U90" s="361"/>
      <c r="V90" s="33" t="e">
        <f t="shared" si="9"/>
        <v>#DIV/0!</v>
      </c>
      <c r="W90" s="24"/>
      <c r="X90" s="10"/>
    </row>
    <row r="91" spans="1:24" ht="15.75" customHeight="1" x14ac:dyDescent="0.25">
      <c r="A91" s="38">
        <v>34</v>
      </c>
      <c r="B91" s="67" t="s">
        <v>630</v>
      </c>
      <c r="C91" s="45"/>
      <c r="D91" s="8"/>
      <c r="E91" s="8"/>
      <c r="F91" s="8"/>
      <c r="G91" s="8"/>
      <c r="H91" s="8"/>
      <c r="I91" s="8"/>
      <c r="J91" s="15" t="e">
        <f t="shared" si="5"/>
        <v>#DIV/0!</v>
      </c>
      <c r="K91" s="8"/>
      <c r="L91" s="8"/>
      <c r="M91" s="15" t="e">
        <f t="shared" si="6"/>
        <v>#DIV/0!</v>
      </c>
      <c r="N91" s="8"/>
      <c r="O91" s="8"/>
      <c r="P91" s="15" t="e">
        <f t="shared" si="7"/>
        <v>#DIV/0!</v>
      </c>
      <c r="Q91" s="10"/>
      <c r="R91" s="359" t="e">
        <f t="shared" si="8"/>
        <v>#DIV/0!</v>
      </c>
      <c r="S91" s="360"/>
      <c r="T91" s="360"/>
      <c r="U91" s="361"/>
      <c r="V91" s="33" t="e">
        <f t="shared" si="9"/>
        <v>#DIV/0!</v>
      </c>
      <c r="W91" s="24"/>
      <c r="X91" s="10"/>
    </row>
    <row r="92" spans="1:24" ht="15.75" customHeight="1" x14ac:dyDescent="0.25">
      <c r="A92" s="38">
        <v>35</v>
      </c>
      <c r="B92" s="118" t="s">
        <v>692</v>
      </c>
      <c r="C92" s="45"/>
      <c r="D92" s="8"/>
      <c r="E92" s="8"/>
      <c r="F92" s="8"/>
      <c r="G92" s="8"/>
      <c r="H92" s="8"/>
      <c r="I92" s="8"/>
      <c r="J92" s="15" t="e">
        <f t="shared" si="5"/>
        <v>#DIV/0!</v>
      </c>
      <c r="K92" s="8"/>
      <c r="L92" s="8"/>
      <c r="M92" s="15" t="e">
        <f t="shared" si="6"/>
        <v>#DIV/0!</v>
      </c>
      <c r="N92" s="8"/>
      <c r="O92" s="8"/>
      <c r="P92" s="15" t="e">
        <f t="shared" si="7"/>
        <v>#DIV/0!</v>
      </c>
      <c r="Q92" s="10"/>
      <c r="R92" s="359" t="e">
        <f t="shared" si="8"/>
        <v>#DIV/0!</v>
      </c>
      <c r="S92" s="360"/>
      <c r="T92" s="360"/>
      <c r="U92" s="361"/>
      <c r="V92" s="33" t="e">
        <f t="shared" si="9"/>
        <v>#DIV/0!</v>
      </c>
      <c r="W92" s="24"/>
      <c r="X92" s="10"/>
    </row>
    <row r="93" spans="1:24" ht="15.75" customHeight="1" x14ac:dyDescent="0.25">
      <c r="A93" s="38">
        <v>36</v>
      </c>
      <c r="B93" s="67" t="s">
        <v>61</v>
      </c>
      <c r="C93" s="45"/>
      <c r="D93" s="8"/>
      <c r="E93" s="8"/>
      <c r="F93" s="8"/>
      <c r="G93" s="8"/>
      <c r="H93" s="8"/>
      <c r="I93" s="8"/>
      <c r="J93" s="15" t="e">
        <f t="shared" si="5"/>
        <v>#DIV/0!</v>
      </c>
      <c r="K93" s="8"/>
      <c r="L93" s="8"/>
      <c r="M93" s="15" t="e">
        <f t="shared" si="6"/>
        <v>#DIV/0!</v>
      </c>
      <c r="N93" s="8"/>
      <c r="O93" s="8"/>
      <c r="P93" s="15" t="e">
        <f t="shared" si="7"/>
        <v>#DIV/0!</v>
      </c>
      <c r="Q93" s="10"/>
      <c r="R93" s="359" t="e">
        <f t="shared" si="8"/>
        <v>#DIV/0!</v>
      </c>
      <c r="S93" s="360"/>
      <c r="T93" s="360"/>
      <c r="U93" s="361"/>
      <c r="V93" s="33" t="e">
        <f t="shared" si="9"/>
        <v>#DIV/0!</v>
      </c>
      <c r="W93" s="24"/>
      <c r="X93" s="10"/>
    </row>
    <row r="94" spans="1:24" ht="15.75" customHeight="1" x14ac:dyDescent="0.25">
      <c r="A94" s="38">
        <v>37</v>
      </c>
      <c r="B94" s="67" t="s">
        <v>61</v>
      </c>
      <c r="C94" s="45"/>
      <c r="D94" s="8"/>
      <c r="E94" s="8"/>
      <c r="F94" s="8"/>
      <c r="G94" s="8"/>
      <c r="H94" s="8"/>
      <c r="I94" s="8"/>
      <c r="J94" s="15" t="e">
        <f t="shared" si="5"/>
        <v>#DIV/0!</v>
      </c>
      <c r="K94" s="8"/>
      <c r="L94" s="8"/>
      <c r="M94" s="15" t="e">
        <f t="shared" si="6"/>
        <v>#DIV/0!</v>
      </c>
      <c r="N94" s="8"/>
      <c r="O94" s="8"/>
      <c r="P94" s="15" t="e">
        <f t="shared" si="7"/>
        <v>#DIV/0!</v>
      </c>
      <c r="Q94" s="10"/>
      <c r="R94" s="359" t="e">
        <f t="shared" si="8"/>
        <v>#DIV/0!</v>
      </c>
      <c r="S94" s="360"/>
      <c r="T94" s="360"/>
      <c r="U94" s="361"/>
      <c r="V94" s="33" t="e">
        <f t="shared" si="9"/>
        <v>#DIV/0!</v>
      </c>
      <c r="W94" s="24"/>
      <c r="X94" s="10"/>
    </row>
    <row r="95" spans="1:24" ht="15.75" customHeight="1" x14ac:dyDescent="0.25">
      <c r="A95" s="38">
        <v>38</v>
      </c>
      <c r="B95" s="78" t="s">
        <v>61</v>
      </c>
      <c r="C95" s="45"/>
      <c r="D95" s="8"/>
      <c r="E95" s="8"/>
      <c r="F95" s="8"/>
      <c r="G95" s="8"/>
      <c r="H95" s="8"/>
      <c r="I95" s="8"/>
      <c r="J95" s="15" t="e">
        <f t="shared" si="5"/>
        <v>#DIV/0!</v>
      </c>
      <c r="K95" s="8"/>
      <c r="L95" s="8"/>
      <c r="M95" s="15" t="e">
        <f t="shared" si="6"/>
        <v>#DIV/0!</v>
      </c>
      <c r="N95" s="8"/>
      <c r="O95" s="8"/>
      <c r="P95" s="15" t="e">
        <f t="shared" si="7"/>
        <v>#DIV/0!</v>
      </c>
      <c r="Q95" s="10"/>
      <c r="R95" s="359" t="e">
        <f t="shared" si="8"/>
        <v>#DIV/0!</v>
      </c>
      <c r="S95" s="360"/>
      <c r="T95" s="360"/>
      <c r="U95" s="361"/>
      <c r="V95" s="33" t="e">
        <f t="shared" si="9"/>
        <v>#DIV/0!</v>
      </c>
      <c r="W95" s="24"/>
      <c r="X95" s="10"/>
    </row>
    <row r="96" spans="1:24" ht="15.75" customHeight="1" x14ac:dyDescent="0.25">
      <c r="A96" s="38">
        <v>39</v>
      </c>
      <c r="B96" s="78" t="s">
        <v>61</v>
      </c>
      <c r="C96" s="45"/>
      <c r="D96" s="8"/>
      <c r="E96" s="8"/>
      <c r="F96" s="8"/>
      <c r="G96" s="8"/>
      <c r="H96" s="8"/>
      <c r="I96" s="8"/>
      <c r="J96" s="15" t="e">
        <f t="shared" si="5"/>
        <v>#DIV/0!</v>
      </c>
      <c r="K96" s="8"/>
      <c r="L96" s="8"/>
      <c r="M96" s="15" t="e">
        <f t="shared" si="6"/>
        <v>#DIV/0!</v>
      </c>
      <c r="N96" s="8"/>
      <c r="O96" s="8"/>
      <c r="P96" s="15" t="e">
        <f t="shared" si="7"/>
        <v>#DIV/0!</v>
      </c>
      <c r="Q96" s="10"/>
      <c r="R96" s="359" t="e">
        <f t="shared" si="8"/>
        <v>#DIV/0!</v>
      </c>
      <c r="S96" s="360"/>
      <c r="T96" s="360"/>
      <c r="U96" s="361"/>
      <c r="V96" s="33" t="e">
        <f t="shared" si="9"/>
        <v>#DIV/0!</v>
      </c>
      <c r="W96" s="24"/>
      <c r="X96" s="10"/>
    </row>
    <row r="97" spans="1:24" ht="15.75" customHeight="1" x14ac:dyDescent="0.25">
      <c r="A97" s="38">
        <v>40</v>
      </c>
      <c r="B97" s="78"/>
      <c r="C97" s="45"/>
      <c r="D97" s="8"/>
      <c r="E97" s="8"/>
      <c r="F97" s="8"/>
      <c r="G97" s="8"/>
      <c r="H97" s="8"/>
      <c r="I97" s="8"/>
      <c r="J97" s="15" t="e">
        <f t="shared" si="5"/>
        <v>#DIV/0!</v>
      </c>
      <c r="K97" s="8"/>
      <c r="L97" s="8"/>
      <c r="M97" s="15" t="e">
        <f t="shared" si="6"/>
        <v>#DIV/0!</v>
      </c>
      <c r="N97" s="8"/>
      <c r="O97" s="8"/>
      <c r="P97" s="15" t="e">
        <f t="shared" si="7"/>
        <v>#DIV/0!</v>
      </c>
      <c r="Q97" s="10"/>
      <c r="R97" s="359" t="e">
        <f t="shared" si="8"/>
        <v>#DIV/0!</v>
      </c>
      <c r="S97" s="360"/>
      <c r="T97" s="360"/>
      <c r="U97" s="361"/>
      <c r="V97" s="33" t="e">
        <f t="shared" si="9"/>
        <v>#DIV/0!</v>
      </c>
      <c r="W97" s="24"/>
      <c r="X97" s="10"/>
    </row>
    <row r="98" spans="1:24" ht="15.75" customHeight="1" x14ac:dyDescent="0.25">
      <c r="A98" s="38">
        <v>41</v>
      </c>
      <c r="B98" s="78"/>
      <c r="C98" s="45"/>
      <c r="D98" s="8"/>
      <c r="E98" s="8"/>
      <c r="F98" s="8"/>
      <c r="G98" s="8"/>
      <c r="H98" s="8"/>
      <c r="I98" s="8"/>
      <c r="J98" s="15" t="e">
        <f t="shared" si="5"/>
        <v>#DIV/0!</v>
      </c>
      <c r="K98" s="8"/>
      <c r="L98" s="8"/>
      <c r="M98" s="15" t="e">
        <f t="shared" si="6"/>
        <v>#DIV/0!</v>
      </c>
      <c r="N98" s="8"/>
      <c r="O98" s="8"/>
      <c r="P98" s="15" t="e">
        <f t="shared" si="7"/>
        <v>#DIV/0!</v>
      </c>
      <c r="Q98" s="10"/>
      <c r="R98" s="359" t="e">
        <f t="shared" si="8"/>
        <v>#DIV/0!</v>
      </c>
      <c r="S98" s="360"/>
      <c r="T98" s="360"/>
      <c r="U98" s="361"/>
      <c r="V98" s="33" t="e">
        <f t="shared" si="9"/>
        <v>#DIV/0!</v>
      </c>
      <c r="W98" s="24"/>
      <c r="X98" s="10"/>
    </row>
    <row r="99" spans="1:24" ht="15.75" customHeight="1" x14ac:dyDescent="0.25">
      <c r="A99" s="38">
        <v>42</v>
      </c>
      <c r="B99" s="78"/>
      <c r="C99" s="45"/>
      <c r="D99" s="8"/>
      <c r="E99" s="8"/>
      <c r="F99" s="8"/>
      <c r="G99" s="8"/>
      <c r="H99" s="8"/>
      <c r="I99" s="8"/>
      <c r="J99" s="15" t="e">
        <f t="shared" si="5"/>
        <v>#DIV/0!</v>
      </c>
      <c r="K99" s="8"/>
      <c r="L99" s="8"/>
      <c r="M99" s="15" t="e">
        <f t="shared" si="6"/>
        <v>#DIV/0!</v>
      </c>
      <c r="N99" s="8"/>
      <c r="O99" s="8"/>
      <c r="P99" s="15" t="e">
        <f t="shared" si="7"/>
        <v>#DIV/0!</v>
      </c>
      <c r="Q99" s="10"/>
      <c r="R99" s="359" t="e">
        <f t="shared" si="8"/>
        <v>#DIV/0!</v>
      </c>
      <c r="S99" s="360"/>
      <c r="T99" s="360"/>
      <c r="U99" s="361"/>
      <c r="V99" s="33" t="e">
        <f t="shared" si="9"/>
        <v>#DIV/0!</v>
      </c>
      <c r="W99" s="24"/>
      <c r="X99" s="10"/>
    </row>
    <row r="100" spans="1:24" ht="15.75" customHeight="1" x14ac:dyDescent="0.25">
      <c r="A100" s="38">
        <v>43</v>
      </c>
      <c r="B100" s="79"/>
      <c r="C100" s="45"/>
      <c r="D100" s="8"/>
      <c r="E100" s="8"/>
      <c r="F100" s="8"/>
      <c r="G100" s="8"/>
      <c r="H100" s="8"/>
      <c r="I100" s="8"/>
      <c r="J100" s="15" t="e">
        <f t="shared" si="5"/>
        <v>#DIV/0!</v>
      </c>
      <c r="K100" s="8"/>
      <c r="L100" s="8"/>
      <c r="M100" s="15" t="e">
        <f t="shared" si="6"/>
        <v>#DIV/0!</v>
      </c>
      <c r="N100" s="8"/>
      <c r="O100" s="8"/>
      <c r="P100" s="15" t="e">
        <f t="shared" si="7"/>
        <v>#DIV/0!</v>
      </c>
      <c r="Q100" s="10"/>
      <c r="R100" s="359" t="e">
        <f t="shared" si="8"/>
        <v>#DIV/0!</v>
      </c>
      <c r="S100" s="360"/>
      <c r="T100" s="360"/>
      <c r="U100" s="361"/>
      <c r="V100" s="33" t="e">
        <f t="shared" si="9"/>
        <v>#DIV/0!</v>
      </c>
      <c r="W100" s="24"/>
      <c r="X100" s="10"/>
    </row>
    <row r="101" spans="1:24" ht="15.75" customHeight="1" x14ac:dyDescent="0.25">
      <c r="A101" s="38">
        <v>44</v>
      </c>
      <c r="B101" s="79"/>
      <c r="C101" s="45"/>
      <c r="D101" s="8"/>
      <c r="E101" s="8"/>
      <c r="F101" s="8"/>
      <c r="G101" s="8"/>
      <c r="H101" s="8"/>
      <c r="I101" s="8"/>
      <c r="J101" s="15" t="e">
        <f t="shared" si="5"/>
        <v>#DIV/0!</v>
      </c>
      <c r="K101" s="8"/>
      <c r="L101" s="8"/>
      <c r="M101" s="15" t="e">
        <f>(AVERAGE(K101:L101))*10%</f>
        <v>#DIV/0!</v>
      </c>
      <c r="N101" s="8"/>
      <c r="O101" s="8"/>
      <c r="P101" s="15" t="e">
        <f t="shared" si="7"/>
        <v>#DIV/0!</v>
      </c>
      <c r="Q101" s="10"/>
      <c r="R101" s="359" t="e">
        <f t="shared" si="8"/>
        <v>#DIV/0!</v>
      </c>
      <c r="S101" s="360"/>
      <c r="T101" s="360"/>
      <c r="U101" s="361"/>
      <c r="V101" s="33" t="e">
        <f t="shared" si="9"/>
        <v>#DIV/0!</v>
      </c>
      <c r="W101" s="24"/>
      <c r="X101" s="10"/>
    </row>
    <row r="102" spans="1:24" ht="15.75" customHeight="1" x14ac:dyDescent="0.25">
      <c r="A102" s="38">
        <v>45</v>
      </c>
      <c r="B102" s="79"/>
      <c r="C102" s="45"/>
      <c r="D102" s="8"/>
      <c r="E102" s="8"/>
      <c r="F102" s="8"/>
      <c r="G102" s="8"/>
      <c r="H102" s="8"/>
      <c r="I102" s="8"/>
      <c r="J102" s="15" t="e">
        <f t="shared" si="5"/>
        <v>#DIV/0!</v>
      </c>
      <c r="K102" s="8"/>
      <c r="L102" s="8"/>
      <c r="M102" s="15" t="e">
        <f t="shared" ref="M102:M103" si="10">(AVERAGE(K102:L102))*10%</f>
        <v>#DIV/0!</v>
      </c>
      <c r="N102" s="8"/>
      <c r="O102" s="8"/>
      <c r="P102" s="15" t="e">
        <f t="shared" si="7"/>
        <v>#DIV/0!</v>
      </c>
      <c r="Q102" s="10"/>
      <c r="R102" s="359" t="e">
        <f t="shared" si="8"/>
        <v>#DIV/0!</v>
      </c>
      <c r="S102" s="360"/>
      <c r="T102" s="360"/>
      <c r="U102" s="361"/>
      <c r="V102" s="33" t="e">
        <f t="shared" si="9"/>
        <v>#DIV/0!</v>
      </c>
      <c r="W102" s="24"/>
      <c r="X102" s="10"/>
    </row>
    <row r="103" spans="1:24" ht="15.75" customHeight="1" thickBot="1" x14ac:dyDescent="0.3">
      <c r="A103" s="38">
        <v>46</v>
      </c>
      <c r="B103" s="80"/>
      <c r="C103" s="46"/>
      <c r="D103" s="47"/>
      <c r="E103" s="47"/>
      <c r="F103" s="47"/>
      <c r="G103" s="47"/>
      <c r="H103" s="47"/>
      <c r="I103" s="47"/>
      <c r="J103" s="48" t="e">
        <f t="shared" si="5"/>
        <v>#DIV/0!</v>
      </c>
      <c r="K103" s="47"/>
      <c r="L103" s="47"/>
      <c r="M103" s="48" t="e">
        <f t="shared" si="10"/>
        <v>#DIV/0!</v>
      </c>
      <c r="N103" s="47"/>
      <c r="O103" s="47"/>
      <c r="P103" s="48" t="e">
        <f t="shared" si="7"/>
        <v>#DIV/0!</v>
      </c>
      <c r="Q103" s="49"/>
      <c r="R103" s="370" t="e">
        <f t="shared" si="8"/>
        <v>#DIV/0!</v>
      </c>
      <c r="S103" s="371"/>
      <c r="T103" s="371"/>
      <c r="U103" s="372"/>
      <c r="V103" s="50" t="e">
        <f t="shared" si="9"/>
        <v>#DIV/0!</v>
      </c>
      <c r="W103" s="24"/>
      <c r="X103" s="10"/>
    </row>
    <row r="104" spans="1:24" ht="15.75" customHeight="1" x14ac:dyDescent="0.25">
      <c r="A104" s="187"/>
      <c r="B104" s="373"/>
      <c r="C104" s="348"/>
      <c r="D104" s="348"/>
      <c r="E104" s="349"/>
      <c r="F104" s="211"/>
      <c r="G104" s="211"/>
      <c r="H104" s="211"/>
      <c r="I104" s="211"/>
      <c r="J104" s="186"/>
      <c r="K104" s="186"/>
      <c r="L104" s="348"/>
      <c r="M104" s="185"/>
      <c r="N104" s="185"/>
      <c r="O104" s="185"/>
      <c r="P104" s="185"/>
      <c r="Q104" s="247"/>
      <c r="R104" s="188"/>
      <c r="S104" s="189"/>
      <c r="T104" s="190"/>
      <c r="U104" s="194"/>
      <c r="V104" s="195"/>
      <c r="W104" s="206"/>
      <c r="X104" s="181"/>
    </row>
    <row r="105" spans="1:24" ht="15.75" customHeight="1" x14ac:dyDescent="0.25">
      <c r="A105" s="187"/>
      <c r="B105" s="374"/>
      <c r="C105" s="205"/>
      <c r="D105" s="205"/>
      <c r="E105" s="210"/>
      <c r="F105" s="211"/>
      <c r="G105" s="211"/>
      <c r="H105" s="211"/>
      <c r="I105" s="211"/>
      <c r="J105" s="204"/>
      <c r="K105" s="204"/>
      <c r="L105" s="205"/>
      <c r="M105" s="185"/>
      <c r="N105" s="185"/>
      <c r="O105" s="185"/>
      <c r="P105" s="185"/>
      <c r="Q105" s="187"/>
      <c r="R105" s="188"/>
      <c r="S105" s="189"/>
      <c r="T105" s="190"/>
      <c r="U105" s="194"/>
      <c r="V105" s="195"/>
      <c r="W105" s="206"/>
      <c r="X105" s="181"/>
    </row>
    <row r="106" spans="1:24" ht="15.75" customHeight="1" x14ac:dyDescent="0.25">
      <c r="A106" s="187"/>
      <c r="B106" s="183"/>
      <c r="C106" s="205"/>
      <c r="D106" s="205"/>
      <c r="E106" s="210"/>
      <c r="F106" s="211"/>
      <c r="G106" s="211"/>
      <c r="H106" s="211"/>
      <c r="I106" s="211"/>
      <c r="J106" s="204"/>
      <c r="K106" s="204"/>
      <c r="L106" s="205"/>
      <c r="M106" s="185"/>
      <c r="N106" s="185"/>
      <c r="O106" s="185"/>
      <c r="P106" s="185"/>
      <c r="Q106" s="187"/>
      <c r="R106" s="188"/>
      <c r="S106" s="189"/>
      <c r="T106" s="190"/>
      <c r="U106" s="194"/>
      <c r="V106" s="195"/>
      <c r="W106" s="206"/>
      <c r="X106" s="181"/>
    </row>
    <row r="107" spans="1:24" ht="49.5" customHeight="1" thickBot="1" x14ac:dyDescent="0.3">
      <c r="A107" s="187"/>
      <c r="B107" s="184"/>
      <c r="C107" s="205"/>
      <c r="D107" s="205"/>
      <c r="E107" s="210"/>
      <c r="F107" s="212"/>
      <c r="G107" s="212"/>
      <c r="H107" s="212"/>
      <c r="I107" s="212"/>
      <c r="J107" s="204"/>
      <c r="K107" s="204"/>
      <c r="L107" s="205"/>
      <c r="M107" s="186"/>
      <c r="N107" s="186"/>
      <c r="O107" s="186"/>
      <c r="P107" s="186"/>
      <c r="Q107" s="187"/>
      <c r="R107" s="191"/>
      <c r="S107" s="192"/>
      <c r="T107" s="193"/>
      <c r="U107" s="196"/>
      <c r="V107" s="197"/>
      <c r="W107" s="207"/>
      <c r="X107" s="182"/>
    </row>
    <row r="108" spans="1:24" ht="87.75" customHeight="1" thickTop="1" thickBot="1" x14ac:dyDescent="0.3">
      <c r="A108" s="290"/>
      <c r="B108" s="291"/>
      <c r="C108" s="291"/>
      <c r="D108" s="291"/>
      <c r="E108" s="291"/>
      <c r="F108" s="291"/>
      <c r="G108" s="291"/>
      <c r="H108" s="291"/>
      <c r="I108" s="291"/>
      <c r="J108" s="291"/>
      <c r="K108" s="291"/>
      <c r="L108" s="291"/>
      <c r="M108" s="291"/>
      <c r="N108" s="291"/>
      <c r="O108" s="291"/>
      <c r="P108" s="292"/>
      <c r="Q108" s="310"/>
      <c r="R108" s="228"/>
      <c r="S108" s="228"/>
      <c r="T108" s="228"/>
      <c r="U108" s="228"/>
      <c r="V108" s="228"/>
      <c r="W108" s="228"/>
      <c r="X108" s="229"/>
    </row>
    <row r="109" spans="1:24" ht="15.75" customHeight="1" thickBot="1" x14ac:dyDescent="0.3">
      <c r="A109" s="218" t="s">
        <v>281</v>
      </c>
      <c r="B109" s="219"/>
      <c r="C109" s="220" t="s">
        <v>931</v>
      </c>
      <c r="D109" s="221"/>
      <c r="E109" s="221"/>
      <c r="F109" s="221"/>
      <c r="G109" s="221"/>
      <c r="H109" s="221"/>
      <c r="I109" s="222"/>
      <c r="J109" s="223" t="s">
        <v>20</v>
      </c>
      <c r="K109" s="224"/>
      <c r="L109" s="224"/>
      <c r="M109" s="224"/>
      <c r="N109" s="225"/>
      <c r="O109" s="225"/>
      <c r="P109" s="225"/>
      <c r="Q109" s="226"/>
      <c r="R109" s="227" t="s">
        <v>151</v>
      </c>
      <c r="S109" s="228"/>
      <c r="T109" s="228"/>
      <c r="U109" s="228"/>
      <c r="V109" s="228"/>
      <c r="W109" s="228"/>
      <c r="X109" s="229"/>
    </row>
    <row r="110" spans="1:24" ht="15.75" customHeight="1" x14ac:dyDescent="0.25">
      <c r="A110" s="230" t="s">
        <v>0</v>
      </c>
      <c r="B110" s="233" t="s">
        <v>1</v>
      </c>
      <c r="C110" s="235" t="s">
        <v>12</v>
      </c>
      <c r="D110" s="235"/>
      <c r="E110" s="235"/>
      <c r="F110" s="235"/>
      <c r="G110" s="235"/>
      <c r="H110" s="235"/>
      <c r="I110" s="235"/>
      <c r="J110" s="235"/>
      <c r="K110" s="236" t="s">
        <v>13</v>
      </c>
      <c r="L110" s="237"/>
      <c r="M110" s="237"/>
      <c r="N110" s="240" t="s">
        <v>15</v>
      </c>
      <c r="O110" s="240"/>
      <c r="P110" s="240"/>
      <c r="Q110" s="241" t="s">
        <v>4</v>
      </c>
      <c r="R110" s="244" t="s">
        <v>11</v>
      </c>
      <c r="S110" s="244"/>
      <c r="T110" s="244"/>
      <c r="U110" s="244"/>
      <c r="V110" s="244"/>
      <c r="W110" s="246" t="s">
        <v>2</v>
      </c>
      <c r="X110" s="247"/>
    </row>
    <row r="111" spans="1:24" ht="15.75" customHeight="1" x14ac:dyDescent="0.25">
      <c r="A111" s="231"/>
      <c r="B111" s="181"/>
      <c r="C111" s="248" t="s">
        <v>6</v>
      </c>
      <c r="D111" s="248" t="s">
        <v>17</v>
      </c>
      <c r="E111" s="248" t="s">
        <v>5</v>
      </c>
      <c r="F111" s="250"/>
      <c r="G111" s="250"/>
      <c r="H111" s="250"/>
      <c r="I111" s="251" t="s">
        <v>16</v>
      </c>
      <c r="J111" s="350" t="s">
        <v>14</v>
      </c>
      <c r="K111" s="238"/>
      <c r="L111" s="239"/>
      <c r="M111" s="239"/>
      <c r="N111" s="240"/>
      <c r="O111" s="240"/>
      <c r="P111" s="240"/>
      <c r="Q111" s="242"/>
      <c r="R111" s="245"/>
      <c r="S111" s="245"/>
      <c r="T111" s="245"/>
      <c r="U111" s="245"/>
      <c r="V111" s="245"/>
      <c r="W111" s="187"/>
      <c r="X111" s="187"/>
    </row>
    <row r="112" spans="1:24" ht="29.25" customHeight="1" thickBot="1" x14ac:dyDescent="0.3">
      <c r="A112" s="232"/>
      <c r="B112" s="181"/>
      <c r="C112" s="248"/>
      <c r="D112" s="248"/>
      <c r="E112" s="248"/>
      <c r="F112" s="248"/>
      <c r="G112" s="248"/>
      <c r="H112" s="248"/>
      <c r="I112" s="328"/>
      <c r="J112" s="351"/>
      <c r="K112" s="27" t="s">
        <v>9</v>
      </c>
      <c r="L112" s="27" t="s">
        <v>10</v>
      </c>
      <c r="M112" s="43" t="s">
        <v>3</v>
      </c>
      <c r="N112" s="27" t="s">
        <v>9</v>
      </c>
      <c r="O112" s="27" t="s">
        <v>10</v>
      </c>
      <c r="P112" s="25" t="s">
        <v>3</v>
      </c>
      <c r="Q112" s="321"/>
      <c r="R112" s="322" t="s">
        <v>7</v>
      </c>
      <c r="S112" s="323"/>
      <c r="T112" s="323"/>
      <c r="U112" s="324"/>
      <c r="V112" s="28" t="s">
        <v>8</v>
      </c>
      <c r="W112" s="5">
        <v>1</v>
      </c>
      <c r="X112" s="5">
        <v>2</v>
      </c>
    </row>
    <row r="113" spans="1:24" ht="15.75" customHeight="1" x14ac:dyDescent="0.25">
      <c r="A113" s="38">
        <v>1</v>
      </c>
      <c r="B113" s="121" t="s">
        <v>338</v>
      </c>
      <c r="C113" s="44"/>
      <c r="D113" s="30"/>
      <c r="E113" s="30"/>
      <c r="F113" s="30"/>
      <c r="G113" s="30"/>
      <c r="H113" s="30"/>
      <c r="I113" s="30"/>
      <c r="J113" s="31" t="e">
        <f>((AVERAGE(C113:H113))*72%)+I113*8%</f>
        <v>#DIV/0!</v>
      </c>
      <c r="K113" s="30"/>
      <c r="L113" s="30"/>
      <c r="M113" s="31" t="e">
        <f>(AVERAGE(K113:L113))*10%</f>
        <v>#DIV/0!</v>
      </c>
      <c r="N113" s="30"/>
      <c r="O113" s="30"/>
      <c r="P113" s="31" t="e">
        <f>(AVERAGE(N113:O113))*10%</f>
        <v>#DIV/0!</v>
      </c>
      <c r="Q113" s="30"/>
      <c r="R113" s="367" t="e">
        <f>IF(V113&lt;65,"BAJO",IF(V113&lt;=79,"BASICO",IF(V113&lt;=89,"ALTO",IF(V113&lt;=100,"SUPERIOR"))))</f>
        <v>#DIV/0!</v>
      </c>
      <c r="S113" s="368"/>
      <c r="T113" s="368"/>
      <c r="U113" s="369"/>
      <c r="V113" s="32" t="e">
        <f>J113+M113+P113</f>
        <v>#DIV/0!</v>
      </c>
      <c r="W113" s="24"/>
      <c r="X113" s="10"/>
    </row>
    <row r="114" spans="1:24" ht="15.75" customHeight="1" x14ac:dyDescent="0.25">
      <c r="A114" s="38">
        <v>2</v>
      </c>
      <c r="B114" s="116" t="s">
        <v>393</v>
      </c>
      <c r="C114" s="45"/>
      <c r="D114" s="8"/>
      <c r="E114" s="8"/>
      <c r="F114" s="8"/>
      <c r="G114" s="8"/>
      <c r="H114" s="8"/>
      <c r="I114" s="9"/>
      <c r="J114" s="15" t="e">
        <f t="shared" ref="J114:J158" si="11">((AVERAGE(C114:H114))*72%)+I114*8%</f>
        <v>#DIV/0!</v>
      </c>
      <c r="K114" s="8"/>
      <c r="L114" s="8"/>
      <c r="M114" s="15" t="e">
        <f t="shared" ref="M114:M158" si="12">(AVERAGE(K114:L114))*10%</f>
        <v>#DIV/0!</v>
      </c>
      <c r="N114" s="8"/>
      <c r="O114" s="8"/>
      <c r="P114" s="15" t="e">
        <f t="shared" ref="P114:P158" si="13">(AVERAGE(N114:O114))*10%</f>
        <v>#DIV/0!</v>
      </c>
      <c r="Q114" s="11"/>
      <c r="R114" s="359" t="e">
        <f t="shared" ref="R114:R158" si="14">IF(V114&lt;65,"BAJO",IF(V114&lt;=79,"BASICO",IF(V114&lt;=89,"ALTO",IF(V114&lt;=100,"SUPERIOR"))))</f>
        <v>#DIV/0!</v>
      </c>
      <c r="S114" s="360"/>
      <c r="T114" s="360"/>
      <c r="U114" s="361"/>
      <c r="V114" s="33" t="e">
        <f t="shared" ref="V114:V158" si="15">J114+M114+P114</f>
        <v>#DIV/0!</v>
      </c>
      <c r="W114" s="24"/>
      <c r="X114" s="10"/>
    </row>
    <row r="115" spans="1:24" ht="15.75" customHeight="1" x14ac:dyDescent="0.25">
      <c r="A115" s="38">
        <v>3</v>
      </c>
      <c r="B115" s="116" t="s">
        <v>631</v>
      </c>
      <c r="C115" s="45"/>
      <c r="D115" s="8"/>
      <c r="E115" s="8"/>
      <c r="F115" s="8"/>
      <c r="G115" s="8"/>
      <c r="H115" s="8"/>
      <c r="I115" s="9"/>
      <c r="J115" s="15" t="e">
        <f t="shared" si="11"/>
        <v>#DIV/0!</v>
      </c>
      <c r="K115" s="8"/>
      <c r="L115" s="8"/>
      <c r="M115" s="15" t="e">
        <f t="shared" si="12"/>
        <v>#DIV/0!</v>
      </c>
      <c r="N115" s="8"/>
      <c r="O115" s="8"/>
      <c r="P115" s="15" t="e">
        <f t="shared" si="13"/>
        <v>#DIV/0!</v>
      </c>
      <c r="Q115" s="11"/>
      <c r="R115" s="359" t="e">
        <f t="shared" si="14"/>
        <v>#DIV/0!</v>
      </c>
      <c r="S115" s="360"/>
      <c r="T115" s="360"/>
      <c r="U115" s="361"/>
      <c r="V115" s="33" t="e">
        <f t="shared" si="15"/>
        <v>#DIV/0!</v>
      </c>
      <c r="W115" s="24"/>
      <c r="X115" s="10"/>
    </row>
    <row r="116" spans="1:24" ht="15.75" customHeight="1" x14ac:dyDescent="0.25">
      <c r="A116" s="38">
        <v>4</v>
      </c>
      <c r="B116" s="116" t="s">
        <v>632</v>
      </c>
      <c r="C116" s="45"/>
      <c r="D116" s="8"/>
      <c r="E116" s="8"/>
      <c r="F116" s="8"/>
      <c r="G116" s="8"/>
      <c r="H116" s="8"/>
      <c r="I116" s="8"/>
      <c r="J116" s="15" t="e">
        <f t="shared" si="11"/>
        <v>#DIV/0!</v>
      </c>
      <c r="K116" s="8"/>
      <c r="L116" s="8"/>
      <c r="M116" s="15" t="e">
        <f t="shared" si="12"/>
        <v>#DIV/0!</v>
      </c>
      <c r="N116" s="8"/>
      <c r="O116" s="8"/>
      <c r="P116" s="15" t="e">
        <f t="shared" si="13"/>
        <v>#DIV/0!</v>
      </c>
      <c r="Q116" s="11"/>
      <c r="R116" s="359" t="e">
        <f t="shared" si="14"/>
        <v>#DIV/0!</v>
      </c>
      <c r="S116" s="360"/>
      <c r="T116" s="360"/>
      <c r="U116" s="361"/>
      <c r="V116" s="33" t="e">
        <f t="shared" si="15"/>
        <v>#DIV/0!</v>
      </c>
      <c r="W116" s="24"/>
      <c r="X116" s="10"/>
    </row>
    <row r="117" spans="1:24" ht="15.75" customHeight="1" x14ac:dyDescent="0.25">
      <c r="A117" s="38">
        <v>5</v>
      </c>
      <c r="B117" s="116" t="s">
        <v>924</v>
      </c>
      <c r="C117" s="45"/>
      <c r="D117" s="8"/>
      <c r="E117" s="8"/>
      <c r="F117" s="8"/>
      <c r="G117" s="8"/>
      <c r="H117" s="8"/>
      <c r="I117" s="8"/>
      <c r="J117" s="15" t="e">
        <f t="shared" si="11"/>
        <v>#DIV/0!</v>
      </c>
      <c r="K117" s="8"/>
      <c r="L117" s="8"/>
      <c r="M117" s="15" t="e">
        <f t="shared" si="12"/>
        <v>#DIV/0!</v>
      </c>
      <c r="N117" s="8"/>
      <c r="O117" s="8"/>
      <c r="P117" s="15" t="e">
        <f t="shared" si="13"/>
        <v>#DIV/0!</v>
      </c>
      <c r="Q117" s="10"/>
      <c r="R117" s="359" t="e">
        <f t="shared" si="14"/>
        <v>#DIV/0!</v>
      </c>
      <c r="S117" s="360"/>
      <c r="T117" s="360"/>
      <c r="U117" s="361"/>
      <c r="V117" s="33" t="e">
        <f t="shared" si="15"/>
        <v>#DIV/0!</v>
      </c>
      <c r="W117" s="24"/>
      <c r="X117" s="10"/>
    </row>
    <row r="118" spans="1:24" ht="15.75" customHeight="1" x14ac:dyDescent="0.25">
      <c r="A118" s="38">
        <v>6</v>
      </c>
      <c r="B118" s="125" t="s">
        <v>925</v>
      </c>
      <c r="C118" s="45"/>
      <c r="D118" s="8"/>
      <c r="E118" s="8"/>
      <c r="F118" s="8"/>
      <c r="G118" s="8"/>
      <c r="H118" s="8"/>
      <c r="I118" s="8"/>
      <c r="J118" s="15" t="e">
        <f t="shared" si="11"/>
        <v>#DIV/0!</v>
      </c>
      <c r="K118" s="8"/>
      <c r="L118" s="8"/>
      <c r="M118" s="15" t="e">
        <f t="shared" si="12"/>
        <v>#DIV/0!</v>
      </c>
      <c r="N118" s="8"/>
      <c r="O118" s="8"/>
      <c r="P118" s="15" t="e">
        <f t="shared" si="13"/>
        <v>#DIV/0!</v>
      </c>
      <c r="Q118" s="10"/>
      <c r="R118" s="359" t="e">
        <f t="shared" si="14"/>
        <v>#DIV/0!</v>
      </c>
      <c r="S118" s="360"/>
      <c r="T118" s="360"/>
      <c r="U118" s="361"/>
      <c r="V118" s="33" t="e">
        <f t="shared" si="15"/>
        <v>#DIV/0!</v>
      </c>
      <c r="W118" s="24"/>
      <c r="X118" s="10"/>
    </row>
    <row r="119" spans="1:24" ht="15.75" customHeight="1" x14ac:dyDescent="0.25">
      <c r="A119" s="38">
        <v>7</v>
      </c>
      <c r="B119" s="125" t="s">
        <v>736</v>
      </c>
      <c r="C119" s="45"/>
      <c r="D119" s="8"/>
      <c r="E119" s="8"/>
      <c r="F119" s="8"/>
      <c r="G119" s="8"/>
      <c r="H119" s="8"/>
      <c r="I119" s="8"/>
      <c r="J119" s="15" t="e">
        <f t="shared" si="11"/>
        <v>#DIV/0!</v>
      </c>
      <c r="K119" s="8"/>
      <c r="L119" s="8"/>
      <c r="M119" s="15" t="e">
        <f t="shared" si="12"/>
        <v>#DIV/0!</v>
      </c>
      <c r="N119" s="8"/>
      <c r="O119" s="8"/>
      <c r="P119" s="15" t="e">
        <f t="shared" si="13"/>
        <v>#DIV/0!</v>
      </c>
      <c r="Q119" s="10"/>
      <c r="R119" s="359" t="e">
        <f t="shared" si="14"/>
        <v>#DIV/0!</v>
      </c>
      <c r="S119" s="360"/>
      <c r="T119" s="360"/>
      <c r="U119" s="361"/>
      <c r="V119" s="33" t="e">
        <f t="shared" si="15"/>
        <v>#DIV/0!</v>
      </c>
      <c r="W119" s="24"/>
      <c r="X119" s="10"/>
    </row>
    <row r="120" spans="1:24" ht="15.75" customHeight="1" x14ac:dyDescent="0.25">
      <c r="A120" s="38">
        <v>8</v>
      </c>
      <c r="B120" s="116" t="s">
        <v>633</v>
      </c>
      <c r="C120" s="45"/>
      <c r="D120" s="8"/>
      <c r="E120" s="8"/>
      <c r="F120" s="8"/>
      <c r="G120" s="8"/>
      <c r="H120" s="8"/>
      <c r="I120" s="8"/>
      <c r="J120" s="15" t="e">
        <f t="shared" si="11"/>
        <v>#DIV/0!</v>
      </c>
      <c r="K120" s="8"/>
      <c r="L120" s="8"/>
      <c r="M120" s="15" t="e">
        <f t="shared" si="12"/>
        <v>#DIV/0!</v>
      </c>
      <c r="N120" s="8"/>
      <c r="O120" s="8"/>
      <c r="P120" s="15" t="e">
        <f t="shared" si="13"/>
        <v>#DIV/0!</v>
      </c>
      <c r="Q120" s="10"/>
      <c r="R120" s="359" t="e">
        <f t="shared" si="14"/>
        <v>#DIV/0!</v>
      </c>
      <c r="S120" s="360"/>
      <c r="T120" s="360"/>
      <c r="U120" s="361"/>
      <c r="V120" s="33" t="e">
        <f t="shared" si="15"/>
        <v>#DIV/0!</v>
      </c>
      <c r="W120" s="24"/>
      <c r="X120" s="10"/>
    </row>
    <row r="121" spans="1:24" ht="15.75" customHeight="1" x14ac:dyDescent="0.25">
      <c r="A121" s="38">
        <v>9</v>
      </c>
      <c r="B121" s="116" t="s">
        <v>634</v>
      </c>
      <c r="C121" s="45"/>
      <c r="D121" s="8"/>
      <c r="E121" s="8"/>
      <c r="F121" s="8"/>
      <c r="G121" s="8"/>
      <c r="H121" s="8"/>
      <c r="I121" s="8"/>
      <c r="J121" s="15" t="e">
        <f t="shared" si="11"/>
        <v>#DIV/0!</v>
      </c>
      <c r="K121" s="8"/>
      <c r="L121" s="8"/>
      <c r="M121" s="15" t="e">
        <f t="shared" si="12"/>
        <v>#DIV/0!</v>
      </c>
      <c r="N121" s="8"/>
      <c r="O121" s="8"/>
      <c r="P121" s="15" t="e">
        <f t="shared" si="13"/>
        <v>#DIV/0!</v>
      </c>
      <c r="Q121" s="10"/>
      <c r="R121" s="359" t="e">
        <f t="shared" si="14"/>
        <v>#DIV/0!</v>
      </c>
      <c r="S121" s="360"/>
      <c r="T121" s="360"/>
      <c r="U121" s="361"/>
      <c r="V121" s="33" t="e">
        <f t="shared" si="15"/>
        <v>#DIV/0!</v>
      </c>
      <c r="W121" s="24"/>
      <c r="X121" s="10"/>
    </row>
    <row r="122" spans="1:24" ht="15.75" customHeight="1" x14ac:dyDescent="0.25">
      <c r="A122" s="38">
        <v>10</v>
      </c>
      <c r="B122" s="116" t="s">
        <v>635</v>
      </c>
      <c r="C122" s="45"/>
      <c r="D122" s="8"/>
      <c r="E122" s="8"/>
      <c r="F122" s="8"/>
      <c r="G122" s="8"/>
      <c r="H122" s="8"/>
      <c r="I122" s="8"/>
      <c r="J122" s="15" t="e">
        <f t="shared" si="11"/>
        <v>#DIV/0!</v>
      </c>
      <c r="K122" s="8"/>
      <c r="L122" s="8"/>
      <c r="M122" s="15" t="e">
        <f t="shared" si="12"/>
        <v>#DIV/0!</v>
      </c>
      <c r="N122" s="8"/>
      <c r="O122" s="8"/>
      <c r="P122" s="15" t="e">
        <f t="shared" si="13"/>
        <v>#DIV/0!</v>
      </c>
      <c r="Q122" s="10"/>
      <c r="R122" s="359" t="e">
        <f t="shared" si="14"/>
        <v>#DIV/0!</v>
      </c>
      <c r="S122" s="360"/>
      <c r="T122" s="360"/>
      <c r="U122" s="361"/>
      <c r="V122" s="33" t="e">
        <f t="shared" si="15"/>
        <v>#DIV/0!</v>
      </c>
      <c r="W122" s="24"/>
      <c r="X122" s="10"/>
    </row>
    <row r="123" spans="1:24" ht="15.75" customHeight="1" x14ac:dyDescent="0.25">
      <c r="A123" s="38">
        <v>11</v>
      </c>
      <c r="B123" s="116" t="s">
        <v>636</v>
      </c>
      <c r="C123" s="45"/>
      <c r="D123" s="8"/>
      <c r="E123" s="8"/>
      <c r="F123" s="8"/>
      <c r="G123" s="8"/>
      <c r="H123" s="8"/>
      <c r="I123" s="8"/>
      <c r="J123" s="15" t="e">
        <f t="shared" si="11"/>
        <v>#DIV/0!</v>
      </c>
      <c r="K123" s="8"/>
      <c r="L123" s="8"/>
      <c r="M123" s="15" t="e">
        <f t="shared" si="12"/>
        <v>#DIV/0!</v>
      </c>
      <c r="N123" s="8"/>
      <c r="O123" s="8"/>
      <c r="P123" s="15" t="e">
        <f t="shared" si="13"/>
        <v>#DIV/0!</v>
      </c>
      <c r="Q123" s="10"/>
      <c r="R123" s="359" t="e">
        <f t="shared" si="14"/>
        <v>#DIV/0!</v>
      </c>
      <c r="S123" s="360"/>
      <c r="T123" s="360"/>
      <c r="U123" s="361"/>
      <c r="V123" s="33" t="e">
        <f t="shared" si="15"/>
        <v>#DIV/0!</v>
      </c>
      <c r="W123" s="24"/>
      <c r="X123" s="10"/>
    </row>
    <row r="124" spans="1:24" ht="15.75" customHeight="1" x14ac:dyDescent="0.25">
      <c r="A124" s="38">
        <v>12</v>
      </c>
      <c r="B124" s="125" t="s">
        <v>741</v>
      </c>
      <c r="C124" s="45"/>
      <c r="D124" s="8"/>
      <c r="E124" s="8"/>
      <c r="F124" s="8"/>
      <c r="G124" s="8"/>
      <c r="H124" s="8"/>
      <c r="I124" s="8"/>
      <c r="J124" s="15" t="e">
        <f t="shared" si="11"/>
        <v>#DIV/0!</v>
      </c>
      <c r="K124" s="8"/>
      <c r="L124" s="8"/>
      <c r="M124" s="15" t="e">
        <f t="shared" si="12"/>
        <v>#DIV/0!</v>
      </c>
      <c r="N124" s="8"/>
      <c r="O124" s="8"/>
      <c r="P124" s="15" t="e">
        <f t="shared" si="13"/>
        <v>#DIV/0!</v>
      </c>
      <c r="Q124" s="10"/>
      <c r="R124" s="359" t="e">
        <f t="shared" si="14"/>
        <v>#DIV/0!</v>
      </c>
      <c r="S124" s="360"/>
      <c r="T124" s="360"/>
      <c r="U124" s="361"/>
      <c r="V124" s="33" t="e">
        <f t="shared" si="15"/>
        <v>#DIV/0!</v>
      </c>
      <c r="W124" s="24"/>
      <c r="X124" s="10"/>
    </row>
    <row r="125" spans="1:24" ht="15.75" customHeight="1" x14ac:dyDescent="0.25">
      <c r="A125" s="38">
        <v>13</v>
      </c>
      <c r="B125" s="116" t="s">
        <v>637</v>
      </c>
      <c r="C125" s="45"/>
      <c r="D125" s="8"/>
      <c r="E125" s="8"/>
      <c r="F125" s="8"/>
      <c r="G125" s="8"/>
      <c r="H125" s="8"/>
      <c r="I125" s="8"/>
      <c r="J125" s="15" t="e">
        <f t="shared" si="11"/>
        <v>#DIV/0!</v>
      </c>
      <c r="K125" s="8"/>
      <c r="L125" s="8"/>
      <c r="M125" s="15" t="e">
        <f t="shared" si="12"/>
        <v>#DIV/0!</v>
      </c>
      <c r="N125" s="8"/>
      <c r="O125" s="8"/>
      <c r="P125" s="15" t="e">
        <f t="shared" si="13"/>
        <v>#DIV/0!</v>
      </c>
      <c r="Q125" s="10"/>
      <c r="R125" s="359" t="e">
        <f t="shared" si="14"/>
        <v>#DIV/0!</v>
      </c>
      <c r="S125" s="360"/>
      <c r="T125" s="360"/>
      <c r="U125" s="361"/>
      <c r="V125" s="33" t="e">
        <f t="shared" si="15"/>
        <v>#DIV/0!</v>
      </c>
      <c r="W125" s="24"/>
      <c r="X125" s="10"/>
    </row>
    <row r="126" spans="1:24" ht="15.75" customHeight="1" x14ac:dyDescent="0.25">
      <c r="A126" s="38">
        <v>14</v>
      </c>
      <c r="B126" s="116" t="s">
        <v>638</v>
      </c>
      <c r="C126" s="45"/>
      <c r="D126" s="8"/>
      <c r="E126" s="8"/>
      <c r="F126" s="8"/>
      <c r="G126" s="8"/>
      <c r="H126" s="8"/>
      <c r="I126" s="8"/>
      <c r="J126" s="15" t="e">
        <f t="shared" si="11"/>
        <v>#DIV/0!</v>
      </c>
      <c r="K126" s="8"/>
      <c r="L126" s="8"/>
      <c r="M126" s="15" t="e">
        <f t="shared" si="12"/>
        <v>#DIV/0!</v>
      </c>
      <c r="N126" s="8"/>
      <c r="O126" s="8"/>
      <c r="P126" s="15" t="e">
        <f t="shared" si="13"/>
        <v>#DIV/0!</v>
      </c>
      <c r="Q126" s="10"/>
      <c r="R126" s="359" t="e">
        <f t="shared" si="14"/>
        <v>#DIV/0!</v>
      </c>
      <c r="S126" s="360"/>
      <c r="T126" s="360"/>
      <c r="U126" s="361"/>
      <c r="V126" s="33" t="e">
        <f t="shared" si="15"/>
        <v>#DIV/0!</v>
      </c>
      <c r="W126" s="24"/>
      <c r="X126" s="10"/>
    </row>
    <row r="127" spans="1:24" ht="15.75" customHeight="1" x14ac:dyDescent="0.25">
      <c r="A127" s="38">
        <v>15</v>
      </c>
      <c r="B127" s="70" t="s">
        <v>588</v>
      </c>
      <c r="C127" s="45"/>
      <c r="D127" s="8"/>
      <c r="E127" s="8"/>
      <c r="F127" s="8"/>
      <c r="G127" s="8"/>
      <c r="H127" s="8"/>
      <c r="I127" s="8"/>
      <c r="J127" s="15" t="e">
        <f t="shared" si="11"/>
        <v>#DIV/0!</v>
      </c>
      <c r="K127" s="8"/>
      <c r="L127" s="8"/>
      <c r="M127" s="15" t="e">
        <f t="shared" si="12"/>
        <v>#DIV/0!</v>
      </c>
      <c r="N127" s="8"/>
      <c r="O127" s="8"/>
      <c r="P127" s="15" t="e">
        <f t="shared" si="13"/>
        <v>#DIV/0!</v>
      </c>
      <c r="Q127" s="10"/>
      <c r="R127" s="359" t="e">
        <f t="shared" si="14"/>
        <v>#DIV/0!</v>
      </c>
      <c r="S127" s="360"/>
      <c r="T127" s="360"/>
      <c r="U127" s="361"/>
      <c r="V127" s="33" t="e">
        <f t="shared" si="15"/>
        <v>#DIV/0!</v>
      </c>
      <c r="W127" s="24"/>
      <c r="X127" s="10"/>
    </row>
    <row r="128" spans="1:24" ht="15.75" customHeight="1" x14ac:dyDescent="0.25">
      <c r="A128" s="38">
        <v>16</v>
      </c>
      <c r="B128" s="116" t="s">
        <v>639</v>
      </c>
      <c r="C128" s="45"/>
      <c r="D128" s="8"/>
      <c r="E128" s="8"/>
      <c r="F128" s="8"/>
      <c r="G128" s="8"/>
      <c r="H128" s="8"/>
      <c r="I128" s="8"/>
      <c r="J128" s="15" t="e">
        <f t="shared" si="11"/>
        <v>#DIV/0!</v>
      </c>
      <c r="K128" s="8"/>
      <c r="L128" s="8"/>
      <c r="M128" s="15" t="e">
        <f t="shared" si="12"/>
        <v>#DIV/0!</v>
      </c>
      <c r="N128" s="8"/>
      <c r="O128" s="8"/>
      <c r="P128" s="15" t="e">
        <f t="shared" si="13"/>
        <v>#DIV/0!</v>
      </c>
      <c r="Q128" s="10"/>
      <c r="R128" s="359" t="e">
        <f t="shared" si="14"/>
        <v>#DIV/0!</v>
      </c>
      <c r="S128" s="360"/>
      <c r="T128" s="360"/>
      <c r="U128" s="361"/>
      <c r="V128" s="33" t="e">
        <f t="shared" si="15"/>
        <v>#DIV/0!</v>
      </c>
      <c r="W128" s="24"/>
      <c r="X128" s="10"/>
    </row>
    <row r="129" spans="1:24" ht="15.75" customHeight="1" x14ac:dyDescent="0.25">
      <c r="A129" s="38">
        <v>17</v>
      </c>
      <c r="B129" s="116" t="s">
        <v>640</v>
      </c>
      <c r="C129" s="45"/>
      <c r="D129" s="8"/>
      <c r="E129" s="8"/>
      <c r="F129" s="8"/>
      <c r="G129" s="8"/>
      <c r="H129" s="8"/>
      <c r="I129" s="13"/>
      <c r="J129" s="15" t="e">
        <f t="shared" si="11"/>
        <v>#DIV/0!</v>
      </c>
      <c r="K129" s="8"/>
      <c r="L129" s="8"/>
      <c r="M129" s="15" t="e">
        <f t="shared" si="12"/>
        <v>#DIV/0!</v>
      </c>
      <c r="N129" s="8"/>
      <c r="O129" s="8"/>
      <c r="P129" s="15" t="e">
        <f t="shared" si="13"/>
        <v>#DIV/0!</v>
      </c>
      <c r="Q129" s="10"/>
      <c r="R129" s="359" t="e">
        <f t="shared" si="14"/>
        <v>#DIV/0!</v>
      </c>
      <c r="S129" s="360"/>
      <c r="T129" s="360"/>
      <c r="U129" s="361"/>
      <c r="V129" s="33" t="e">
        <f t="shared" si="15"/>
        <v>#DIV/0!</v>
      </c>
      <c r="W129" s="24"/>
      <c r="X129" s="10"/>
    </row>
    <row r="130" spans="1:24" ht="15.75" customHeight="1" x14ac:dyDescent="0.25">
      <c r="A130" s="38">
        <v>18</v>
      </c>
      <c r="B130" s="122" t="s">
        <v>641</v>
      </c>
      <c r="C130" s="45"/>
      <c r="D130" s="8"/>
      <c r="E130" s="8"/>
      <c r="F130" s="8"/>
      <c r="G130" s="8"/>
      <c r="H130" s="8"/>
      <c r="I130" s="8"/>
      <c r="J130" s="15" t="e">
        <f t="shared" si="11"/>
        <v>#DIV/0!</v>
      </c>
      <c r="K130" s="8"/>
      <c r="L130" s="8"/>
      <c r="M130" s="15" t="e">
        <f t="shared" si="12"/>
        <v>#DIV/0!</v>
      </c>
      <c r="N130" s="8"/>
      <c r="O130" s="8"/>
      <c r="P130" s="15" t="e">
        <f t="shared" si="13"/>
        <v>#DIV/0!</v>
      </c>
      <c r="Q130" s="10"/>
      <c r="R130" s="359" t="e">
        <f t="shared" si="14"/>
        <v>#DIV/0!</v>
      </c>
      <c r="S130" s="360"/>
      <c r="T130" s="360"/>
      <c r="U130" s="361"/>
      <c r="V130" s="33" t="e">
        <f t="shared" si="15"/>
        <v>#DIV/0!</v>
      </c>
      <c r="W130" s="24"/>
      <c r="X130" s="10"/>
    </row>
    <row r="131" spans="1:24" ht="15.75" customHeight="1" x14ac:dyDescent="0.25">
      <c r="A131" s="38">
        <v>19</v>
      </c>
      <c r="B131" s="116" t="s">
        <v>642</v>
      </c>
      <c r="C131" s="45"/>
      <c r="D131" s="8"/>
      <c r="E131" s="8"/>
      <c r="F131" s="8"/>
      <c r="G131" s="8"/>
      <c r="H131" s="8"/>
      <c r="I131" s="8"/>
      <c r="J131" s="15" t="e">
        <f t="shared" si="11"/>
        <v>#DIV/0!</v>
      </c>
      <c r="K131" s="8"/>
      <c r="L131" s="8"/>
      <c r="M131" s="15" t="e">
        <f t="shared" si="12"/>
        <v>#DIV/0!</v>
      </c>
      <c r="N131" s="8"/>
      <c r="O131" s="8"/>
      <c r="P131" s="15" t="e">
        <f t="shared" si="13"/>
        <v>#DIV/0!</v>
      </c>
      <c r="Q131" s="10"/>
      <c r="R131" s="359" t="e">
        <f t="shared" si="14"/>
        <v>#DIV/0!</v>
      </c>
      <c r="S131" s="360"/>
      <c r="T131" s="360"/>
      <c r="U131" s="361"/>
      <c r="V131" s="33" t="e">
        <f t="shared" si="15"/>
        <v>#DIV/0!</v>
      </c>
      <c r="W131" s="24"/>
      <c r="X131" s="10"/>
    </row>
    <row r="132" spans="1:24" ht="15.75" customHeight="1" x14ac:dyDescent="0.25">
      <c r="A132" s="38">
        <v>20</v>
      </c>
      <c r="B132" s="116" t="s">
        <v>407</v>
      </c>
      <c r="C132" s="45"/>
      <c r="D132" s="8"/>
      <c r="E132" s="8"/>
      <c r="F132" s="8"/>
      <c r="G132" s="8"/>
      <c r="H132" s="8"/>
      <c r="I132" s="8"/>
      <c r="J132" s="15" t="e">
        <f t="shared" si="11"/>
        <v>#DIV/0!</v>
      </c>
      <c r="K132" s="8"/>
      <c r="L132" s="8"/>
      <c r="M132" s="15" t="e">
        <f t="shared" si="12"/>
        <v>#DIV/0!</v>
      </c>
      <c r="N132" s="8"/>
      <c r="O132" s="8"/>
      <c r="P132" s="15" t="e">
        <f t="shared" si="13"/>
        <v>#DIV/0!</v>
      </c>
      <c r="Q132" s="10"/>
      <c r="R132" s="359" t="e">
        <f t="shared" si="14"/>
        <v>#DIV/0!</v>
      </c>
      <c r="S132" s="360"/>
      <c r="T132" s="360"/>
      <c r="U132" s="361"/>
      <c r="V132" s="33" t="e">
        <f t="shared" si="15"/>
        <v>#DIV/0!</v>
      </c>
      <c r="W132" s="24"/>
      <c r="X132" s="10"/>
    </row>
    <row r="133" spans="1:24" ht="15.75" customHeight="1" x14ac:dyDescent="0.25">
      <c r="A133" s="38">
        <v>21</v>
      </c>
      <c r="B133" s="116" t="s">
        <v>643</v>
      </c>
      <c r="C133" s="45"/>
      <c r="D133" s="8"/>
      <c r="E133" s="8"/>
      <c r="F133" s="8"/>
      <c r="G133" s="8"/>
      <c r="H133" s="8"/>
      <c r="I133" s="8"/>
      <c r="J133" s="15" t="e">
        <f t="shared" si="11"/>
        <v>#DIV/0!</v>
      </c>
      <c r="K133" s="8"/>
      <c r="L133" s="8"/>
      <c r="M133" s="15" t="e">
        <f t="shared" si="12"/>
        <v>#DIV/0!</v>
      </c>
      <c r="N133" s="8"/>
      <c r="O133" s="8"/>
      <c r="P133" s="15" t="e">
        <f t="shared" si="13"/>
        <v>#DIV/0!</v>
      </c>
      <c r="Q133" s="10"/>
      <c r="R133" s="359" t="e">
        <f t="shared" si="14"/>
        <v>#DIV/0!</v>
      </c>
      <c r="S133" s="360"/>
      <c r="T133" s="360"/>
      <c r="U133" s="361"/>
      <c r="V133" s="33" t="e">
        <f t="shared" si="15"/>
        <v>#DIV/0!</v>
      </c>
      <c r="W133" s="24"/>
      <c r="X133" s="10"/>
    </row>
    <row r="134" spans="1:24" ht="15.75" customHeight="1" x14ac:dyDescent="0.25">
      <c r="A134" s="38">
        <v>22</v>
      </c>
      <c r="B134" s="116" t="s">
        <v>644</v>
      </c>
      <c r="C134" s="45"/>
      <c r="D134" s="8"/>
      <c r="E134" s="8"/>
      <c r="F134" s="8"/>
      <c r="G134" s="8"/>
      <c r="H134" s="8"/>
      <c r="I134" s="8"/>
      <c r="J134" s="15" t="e">
        <f t="shared" si="11"/>
        <v>#DIV/0!</v>
      </c>
      <c r="K134" s="8"/>
      <c r="L134" s="8"/>
      <c r="M134" s="15" t="e">
        <f t="shared" si="12"/>
        <v>#DIV/0!</v>
      </c>
      <c r="N134" s="8"/>
      <c r="O134" s="8"/>
      <c r="P134" s="15" t="e">
        <f t="shared" si="13"/>
        <v>#DIV/0!</v>
      </c>
      <c r="Q134" s="10"/>
      <c r="R134" s="359" t="e">
        <f t="shared" si="14"/>
        <v>#DIV/0!</v>
      </c>
      <c r="S134" s="360"/>
      <c r="T134" s="360"/>
      <c r="U134" s="361"/>
      <c r="V134" s="33" t="e">
        <f t="shared" si="15"/>
        <v>#DIV/0!</v>
      </c>
      <c r="W134" s="24"/>
      <c r="X134" s="10"/>
    </row>
    <row r="135" spans="1:24" ht="15.75" customHeight="1" x14ac:dyDescent="0.25">
      <c r="A135" s="38">
        <v>23</v>
      </c>
      <c r="B135" s="116" t="s">
        <v>645</v>
      </c>
      <c r="C135" s="45"/>
      <c r="D135" s="8"/>
      <c r="E135" s="8"/>
      <c r="F135" s="8"/>
      <c r="G135" s="8"/>
      <c r="H135" s="8"/>
      <c r="I135" s="8"/>
      <c r="J135" s="15" t="e">
        <f t="shared" si="11"/>
        <v>#DIV/0!</v>
      </c>
      <c r="K135" s="8"/>
      <c r="L135" s="8"/>
      <c r="M135" s="15" t="e">
        <f t="shared" si="12"/>
        <v>#DIV/0!</v>
      </c>
      <c r="N135" s="8"/>
      <c r="O135" s="8"/>
      <c r="P135" s="15" t="e">
        <f t="shared" si="13"/>
        <v>#DIV/0!</v>
      </c>
      <c r="Q135" s="10"/>
      <c r="R135" s="359" t="e">
        <f t="shared" si="14"/>
        <v>#DIV/0!</v>
      </c>
      <c r="S135" s="360"/>
      <c r="T135" s="360"/>
      <c r="U135" s="361"/>
      <c r="V135" s="33" t="e">
        <f t="shared" si="15"/>
        <v>#DIV/0!</v>
      </c>
      <c r="W135" s="24"/>
      <c r="X135" s="10"/>
    </row>
    <row r="136" spans="1:24" ht="15.75" customHeight="1" x14ac:dyDescent="0.25">
      <c r="A136" s="38">
        <v>24</v>
      </c>
      <c r="B136" s="116" t="s">
        <v>646</v>
      </c>
      <c r="C136" s="45"/>
      <c r="D136" s="8"/>
      <c r="E136" s="8"/>
      <c r="F136" s="8"/>
      <c r="G136" s="8"/>
      <c r="H136" s="8"/>
      <c r="I136" s="8"/>
      <c r="J136" s="15" t="e">
        <f t="shared" si="11"/>
        <v>#DIV/0!</v>
      </c>
      <c r="K136" s="8"/>
      <c r="L136" s="8"/>
      <c r="M136" s="15" t="e">
        <f t="shared" si="12"/>
        <v>#DIV/0!</v>
      </c>
      <c r="N136" s="8"/>
      <c r="O136" s="8"/>
      <c r="P136" s="15" t="e">
        <f t="shared" si="13"/>
        <v>#DIV/0!</v>
      </c>
      <c r="Q136" s="10"/>
      <c r="R136" s="359" t="e">
        <f t="shared" si="14"/>
        <v>#DIV/0!</v>
      </c>
      <c r="S136" s="360"/>
      <c r="T136" s="360"/>
      <c r="U136" s="361"/>
      <c r="V136" s="33" t="e">
        <f t="shared" si="15"/>
        <v>#DIV/0!</v>
      </c>
      <c r="W136" s="24"/>
      <c r="X136" s="10"/>
    </row>
    <row r="137" spans="1:24" ht="15.75" customHeight="1" x14ac:dyDescent="0.25">
      <c r="A137" s="38">
        <v>25</v>
      </c>
      <c r="B137" s="116" t="s">
        <v>647</v>
      </c>
      <c r="C137" s="45"/>
      <c r="D137" s="8"/>
      <c r="E137" s="8"/>
      <c r="F137" s="8"/>
      <c r="G137" s="8"/>
      <c r="H137" s="8"/>
      <c r="I137" s="8"/>
      <c r="J137" s="15" t="e">
        <f t="shared" si="11"/>
        <v>#DIV/0!</v>
      </c>
      <c r="K137" s="8"/>
      <c r="L137" s="8"/>
      <c r="M137" s="15" t="e">
        <f t="shared" si="12"/>
        <v>#DIV/0!</v>
      </c>
      <c r="N137" s="8"/>
      <c r="O137" s="8"/>
      <c r="P137" s="15" t="e">
        <f t="shared" si="13"/>
        <v>#DIV/0!</v>
      </c>
      <c r="Q137" s="10"/>
      <c r="R137" s="359" t="e">
        <f t="shared" si="14"/>
        <v>#DIV/0!</v>
      </c>
      <c r="S137" s="360"/>
      <c r="T137" s="360"/>
      <c r="U137" s="361"/>
      <c r="V137" s="33" t="e">
        <f t="shared" si="15"/>
        <v>#DIV/0!</v>
      </c>
      <c r="W137" s="24"/>
      <c r="X137" s="10"/>
    </row>
    <row r="138" spans="1:24" ht="15.75" customHeight="1" x14ac:dyDescent="0.25">
      <c r="A138" s="38">
        <v>26</v>
      </c>
      <c r="B138" s="116" t="s">
        <v>648</v>
      </c>
      <c r="C138" s="45"/>
      <c r="D138" s="8"/>
      <c r="E138" s="8"/>
      <c r="F138" s="8"/>
      <c r="G138" s="8"/>
      <c r="H138" s="8"/>
      <c r="I138" s="8"/>
      <c r="J138" s="15" t="e">
        <f t="shared" si="11"/>
        <v>#DIV/0!</v>
      </c>
      <c r="K138" s="8"/>
      <c r="L138" s="8"/>
      <c r="M138" s="15" t="e">
        <f t="shared" si="12"/>
        <v>#DIV/0!</v>
      </c>
      <c r="N138" s="8"/>
      <c r="O138" s="8"/>
      <c r="P138" s="15" t="e">
        <f t="shared" si="13"/>
        <v>#DIV/0!</v>
      </c>
      <c r="Q138" s="10"/>
      <c r="R138" s="359" t="e">
        <f t="shared" si="14"/>
        <v>#DIV/0!</v>
      </c>
      <c r="S138" s="360"/>
      <c r="T138" s="360"/>
      <c r="U138" s="361"/>
      <c r="V138" s="33" t="e">
        <f t="shared" si="15"/>
        <v>#DIV/0!</v>
      </c>
      <c r="W138" s="24"/>
      <c r="X138" s="10"/>
    </row>
    <row r="139" spans="1:24" ht="15.75" customHeight="1" x14ac:dyDescent="0.25">
      <c r="A139" s="38">
        <v>27</v>
      </c>
      <c r="B139" s="116" t="s">
        <v>649</v>
      </c>
      <c r="C139" s="45"/>
      <c r="D139" s="8"/>
      <c r="E139" s="8"/>
      <c r="F139" s="8"/>
      <c r="G139" s="8"/>
      <c r="H139" s="8"/>
      <c r="I139" s="8"/>
      <c r="J139" s="15" t="e">
        <f t="shared" si="11"/>
        <v>#DIV/0!</v>
      </c>
      <c r="K139" s="8"/>
      <c r="L139" s="8"/>
      <c r="M139" s="15" t="e">
        <f t="shared" si="12"/>
        <v>#DIV/0!</v>
      </c>
      <c r="N139" s="8"/>
      <c r="O139" s="8"/>
      <c r="P139" s="15" t="e">
        <f t="shared" si="13"/>
        <v>#DIV/0!</v>
      </c>
      <c r="Q139" s="10"/>
      <c r="R139" s="359" t="e">
        <f t="shared" si="14"/>
        <v>#DIV/0!</v>
      </c>
      <c r="S139" s="360"/>
      <c r="T139" s="360"/>
      <c r="U139" s="361"/>
      <c r="V139" s="33" t="e">
        <f t="shared" si="15"/>
        <v>#DIV/0!</v>
      </c>
      <c r="W139" s="24"/>
      <c r="X139" s="10"/>
    </row>
    <row r="140" spans="1:24" ht="15.75" customHeight="1" x14ac:dyDescent="0.25">
      <c r="A140" s="38">
        <v>28</v>
      </c>
      <c r="B140" s="116" t="s">
        <v>242</v>
      </c>
      <c r="C140" s="45"/>
      <c r="D140" s="8"/>
      <c r="E140" s="8"/>
      <c r="F140" s="8"/>
      <c r="G140" s="8"/>
      <c r="H140" s="8"/>
      <c r="I140" s="8"/>
      <c r="J140" s="15" t="e">
        <f t="shared" si="11"/>
        <v>#DIV/0!</v>
      </c>
      <c r="K140" s="8"/>
      <c r="L140" s="8"/>
      <c r="M140" s="15" t="e">
        <f t="shared" si="12"/>
        <v>#DIV/0!</v>
      </c>
      <c r="N140" s="8"/>
      <c r="O140" s="8"/>
      <c r="P140" s="15" t="e">
        <f t="shared" si="13"/>
        <v>#DIV/0!</v>
      </c>
      <c r="Q140" s="10"/>
      <c r="R140" s="359" t="e">
        <f t="shared" si="14"/>
        <v>#DIV/0!</v>
      </c>
      <c r="S140" s="360"/>
      <c r="T140" s="360"/>
      <c r="U140" s="361"/>
      <c r="V140" s="33" t="e">
        <f t="shared" si="15"/>
        <v>#DIV/0!</v>
      </c>
      <c r="W140" s="24"/>
      <c r="X140" s="10"/>
    </row>
    <row r="141" spans="1:24" ht="15.75" customHeight="1" x14ac:dyDescent="0.25">
      <c r="A141" s="38">
        <v>29</v>
      </c>
      <c r="B141" s="116" t="s">
        <v>650</v>
      </c>
      <c r="C141" s="45"/>
      <c r="D141" s="8"/>
      <c r="E141" s="8"/>
      <c r="F141" s="8"/>
      <c r="G141" s="8"/>
      <c r="H141" s="8"/>
      <c r="I141" s="8"/>
      <c r="J141" s="15" t="e">
        <f t="shared" si="11"/>
        <v>#DIV/0!</v>
      </c>
      <c r="K141" s="8"/>
      <c r="L141" s="8"/>
      <c r="M141" s="15" t="e">
        <f t="shared" si="12"/>
        <v>#DIV/0!</v>
      </c>
      <c r="N141" s="8"/>
      <c r="O141" s="8"/>
      <c r="P141" s="15" t="e">
        <f t="shared" si="13"/>
        <v>#DIV/0!</v>
      </c>
      <c r="Q141" s="10"/>
      <c r="R141" s="359" t="e">
        <f t="shared" si="14"/>
        <v>#DIV/0!</v>
      </c>
      <c r="S141" s="360"/>
      <c r="T141" s="360"/>
      <c r="U141" s="361"/>
      <c r="V141" s="33" t="e">
        <f t="shared" si="15"/>
        <v>#DIV/0!</v>
      </c>
      <c r="W141" s="24"/>
      <c r="X141" s="10"/>
    </row>
    <row r="142" spans="1:24" ht="15.75" customHeight="1" x14ac:dyDescent="0.25">
      <c r="A142" s="38">
        <v>30</v>
      </c>
      <c r="B142" s="116" t="s">
        <v>651</v>
      </c>
      <c r="C142" s="45"/>
      <c r="D142" s="8"/>
      <c r="E142" s="8"/>
      <c r="F142" s="8"/>
      <c r="G142" s="8"/>
      <c r="H142" s="8"/>
      <c r="I142" s="8"/>
      <c r="J142" s="15" t="e">
        <f t="shared" si="11"/>
        <v>#DIV/0!</v>
      </c>
      <c r="K142" s="8"/>
      <c r="L142" s="8"/>
      <c r="M142" s="15" t="e">
        <f t="shared" si="12"/>
        <v>#DIV/0!</v>
      </c>
      <c r="N142" s="8"/>
      <c r="O142" s="8"/>
      <c r="P142" s="15" t="e">
        <f t="shared" si="13"/>
        <v>#DIV/0!</v>
      </c>
      <c r="Q142" s="10"/>
      <c r="R142" s="359" t="e">
        <f t="shared" si="14"/>
        <v>#DIV/0!</v>
      </c>
      <c r="S142" s="360"/>
      <c r="T142" s="360"/>
      <c r="U142" s="361"/>
      <c r="V142" s="33" t="e">
        <f t="shared" si="15"/>
        <v>#DIV/0!</v>
      </c>
      <c r="W142" s="24"/>
      <c r="X142" s="10"/>
    </row>
    <row r="143" spans="1:24" ht="15.75" customHeight="1" x14ac:dyDescent="0.25">
      <c r="A143" s="38">
        <v>31</v>
      </c>
      <c r="B143" s="116" t="s">
        <v>653</v>
      </c>
      <c r="C143" s="45"/>
      <c r="D143" s="8"/>
      <c r="E143" s="8"/>
      <c r="F143" s="8"/>
      <c r="G143" s="8"/>
      <c r="H143" s="8"/>
      <c r="I143" s="8"/>
      <c r="J143" s="15" t="e">
        <f t="shared" si="11"/>
        <v>#DIV/0!</v>
      </c>
      <c r="K143" s="8"/>
      <c r="L143" s="8"/>
      <c r="M143" s="15" t="e">
        <f t="shared" si="12"/>
        <v>#DIV/0!</v>
      </c>
      <c r="N143" s="8"/>
      <c r="O143" s="8"/>
      <c r="P143" s="15" t="e">
        <f t="shared" si="13"/>
        <v>#DIV/0!</v>
      </c>
      <c r="Q143" s="10"/>
      <c r="R143" s="359" t="e">
        <f t="shared" si="14"/>
        <v>#DIV/0!</v>
      </c>
      <c r="S143" s="360"/>
      <c r="T143" s="360"/>
      <c r="U143" s="361"/>
      <c r="V143" s="33" t="e">
        <f t="shared" si="15"/>
        <v>#DIV/0!</v>
      </c>
      <c r="W143" s="24"/>
      <c r="X143" s="10"/>
    </row>
    <row r="144" spans="1:24" ht="15.75" customHeight="1" x14ac:dyDescent="0.25">
      <c r="A144" s="38">
        <v>32</v>
      </c>
      <c r="B144" s="116"/>
      <c r="C144" s="45"/>
      <c r="D144" s="8"/>
      <c r="E144" s="8"/>
      <c r="F144" s="8"/>
      <c r="G144" s="8"/>
      <c r="H144" s="8"/>
      <c r="I144" s="8"/>
      <c r="J144" s="15" t="e">
        <f t="shared" si="11"/>
        <v>#DIV/0!</v>
      </c>
      <c r="K144" s="8"/>
      <c r="L144" s="8"/>
      <c r="M144" s="15" t="e">
        <f t="shared" si="12"/>
        <v>#DIV/0!</v>
      </c>
      <c r="N144" s="8"/>
      <c r="O144" s="8"/>
      <c r="P144" s="15" t="e">
        <f t="shared" si="13"/>
        <v>#DIV/0!</v>
      </c>
      <c r="Q144" s="10"/>
      <c r="R144" s="359" t="e">
        <f t="shared" si="14"/>
        <v>#DIV/0!</v>
      </c>
      <c r="S144" s="360"/>
      <c r="T144" s="360"/>
      <c r="U144" s="361"/>
      <c r="V144" s="33" t="e">
        <f t="shared" si="15"/>
        <v>#DIV/0!</v>
      </c>
      <c r="W144" s="24"/>
      <c r="X144" s="10"/>
    </row>
    <row r="145" spans="1:24" ht="15.75" customHeight="1" x14ac:dyDescent="0.25">
      <c r="A145" s="38">
        <v>33</v>
      </c>
      <c r="B145" s="116"/>
      <c r="C145" s="45"/>
      <c r="D145" s="8"/>
      <c r="E145" s="8"/>
      <c r="F145" s="8"/>
      <c r="G145" s="8"/>
      <c r="H145" s="8"/>
      <c r="I145" s="8"/>
      <c r="J145" s="15" t="e">
        <f t="shared" si="11"/>
        <v>#DIV/0!</v>
      </c>
      <c r="K145" s="8"/>
      <c r="L145" s="8"/>
      <c r="M145" s="15" t="e">
        <f t="shared" si="12"/>
        <v>#DIV/0!</v>
      </c>
      <c r="N145" s="8"/>
      <c r="O145" s="8"/>
      <c r="P145" s="15" t="e">
        <f t="shared" si="13"/>
        <v>#DIV/0!</v>
      </c>
      <c r="Q145" s="10"/>
      <c r="R145" s="359" t="e">
        <f t="shared" si="14"/>
        <v>#DIV/0!</v>
      </c>
      <c r="S145" s="360"/>
      <c r="T145" s="360"/>
      <c r="U145" s="361"/>
      <c r="V145" s="33" t="e">
        <f t="shared" si="15"/>
        <v>#DIV/0!</v>
      </c>
      <c r="W145" s="24"/>
      <c r="X145" s="10"/>
    </row>
    <row r="146" spans="1:24" ht="15.75" customHeight="1" x14ac:dyDescent="0.25">
      <c r="A146" s="38">
        <v>34</v>
      </c>
      <c r="B146" s="116"/>
      <c r="C146" s="45"/>
      <c r="D146" s="8"/>
      <c r="E146" s="8"/>
      <c r="F146" s="8"/>
      <c r="G146" s="8"/>
      <c r="H146" s="8"/>
      <c r="I146" s="8"/>
      <c r="J146" s="15" t="e">
        <f t="shared" si="11"/>
        <v>#DIV/0!</v>
      </c>
      <c r="K146" s="8"/>
      <c r="L146" s="8"/>
      <c r="M146" s="15" t="e">
        <f t="shared" si="12"/>
        <v>#DIV/0!</v>
      </c>
      <c r="N146" s="8"/>
      <c r="O146" s="8"/>
      <c r="P146" s="15" t="e">
        <f t="shared" si="13"/>
        <v>#DIV/0!</v>
      </c>
      <c r="Q146" s="10"/>
      <c r="R146" s="359" t="e">
        <f t="shared" si="14"/>
        <v>#DIV/0!</v>
      </c>
      <c r="S146" s="360"/>
      <c r="T146" s="360"/>
      <c r="U146" s="361"/>
      <c r="V146" s="33" t="e">
        <f t="shared" si="15"/>
        <v>#DIV/0!</v>
      </c>
      <c r="W146" s="24"/>
      <c r="X146" s="10"/>
    </row>
    <row r="147" spans="1:24" ht="15.75" customHeight="1" x14ac:dyDescent="0.25">
      <c r="A147" s="38">
        <v>35</v>
      </c>
      <c r="B147" s="72"/>
      <c r="C147" s="45"/>
      <c r="D147" s="8"/>
      <c r="E147" s="8"/>
      <c r="F147" s="8"/>
      <c r="G147" s="8"/>
      <c r="H147" s="8"/>
      <c r="I147" s="8"/>
      <c r="J147" s="15" t="e">
        <f t="shared" si="11"/>
        <v>#DIV/0!</v>
      </c>
      <c r="K147" s="8"/>
      <c r="L147" s="8"/>
      <c r="M147" s="15" t="e">
        <f t="shared" si="12"/>
        <v>#DIV/0!</v>
      </c>
      <c r="N147" s="8"/>
      <c r="O147" s="8"/>
      <c r="P147" s="15" t="e">
        <f t="shared" si="13"/>
        <v>#DIV/0!</v>
      </c>
      <c r="Q147" s="10"/>
      <c r="R147" s="359" t="e">
        <f t="shared" si="14"/>
        <v>#DIV/0!</v>
      </c>
      <c r="S147" s="360"/>
      <c r="T147" s="360"/>
      <c r="U147" s="361"/>
      <c r="V147" s="33" t="e">
        <f t="shared" si="15"/>
        <v>#DIV/0!</v>
      </c>
      <c r="W147" s="24"/>
      <c r="X147" s="10"/>
    </row>
    <row r="148" spans="1:24" ht="15.75" customHeight="1" x14ac:dyDescent="0.25">
      <c r="A148" s="38">
        <v>36</v>
      </c>
      <c r="B148" s="72"/>
      <c r="C148" s="45"/>
      <c r="D148" s="8"/>
      <c r="E148" s="8"/>
      <c r="F148" s="8"/>
      <c r="G148" s="8"/>
      <c r="H148" s="8"/>
      <c r="I148" s="8"/>
      <c r="J148" s="15" t="e">
        <f t="shared" si="11"/>
        <v>#DIV/0!</v>
      </c>
      <c r="K148" s="8"/>
      <c r="L148" s="8"/>
      <c r="M148" s="15" t="e">
        <f t="shared" si="12"/>
        <v>#DIV/0!</v>
      </c>
      <c r="N148" s="8"/>
      <c r="O148" s="8"/>
      <c r="P148" s="15" t="e">
        <f t="shared" si="13"/>
        <v>#DIV/0!</v>
      </c>
      <c r="Q148" s="10"/>
      <c r="R148" s="359" t="e">
        <f t="shared" si="14"/>
        <v>#DIV/0!</v>
      </c>
      <c r="S148" s="360"/>
      <c r="T148" s="360"/>
      <c r="U148" s="361"/>
      <c r="V148" s="33" t="e">
        <f t="shared" si="15"/>
        <v>#DIV/0!</v>
      </c>
      <c r="W148" s="24"/>
      <c r="X148" s="10"/>
    </row>
    <row r="149" spans="1:24" ht="15.75" customHeight="1" x14ac:dyDescent="0.25">
      <c r="A149" s="38">
        <v>37</v>
      </c>
      <c r="B149" s="72"/>
      <c r="C149" s="45"/>
      <c r="D149" s="8"/>
      <c r="E149" s="8"/>
      <c r="F149" s="8"/>
      <c r="G149" s="8"/>
      <c r="H149" s="8"/>
      <c r="I149" s="8"/>
      <c r="J149" s="15" t="e">
        <f t="shared" si="11"/>
        <v>#DIV/0!</v>
      </c>
      <c r="K149" s="8"/>
      <c r="L149" s="8"/>
      <c r="M149" s="15" t="e">
        <f t="shared" si="12"/>
        <v>#DIV/0!</v>
      </c>
      <c r="N149" s="8"/>
      <c r="O149" s="8"/>
      <c r="P149" s="15" t="e">
        <f t="shared" si="13"/>
        <v>#DIV/0!</v>
      </c>
      <c r="Q149" s="10"/>
      <c r="R149" s="359" t="e">
        <f t="shared" si="14"/>
        <v>#DIV/0!</v>
      </c>
      <c r="S149" s="360"/>
      <c r="T149" s="360"/>
      <c r="U149" s="361"/>
      <c r="V149" s="33" t="e">
        <f t="shared" si="15"/>
        <v>#DIV/0!</v>
      </c>
      <c r="W149" s="24"/>
      <c r="X149" s="10"/>
    </row>
    <row r="150" spans="1:24" ht="15.75" customHeight="1" x14ac:dyDescent="0.25">
      <c r="A150" s="38">
        <v>38</v>
      </c>
      <c r="B150" s="66"/>
      <c r="C150" s="45"/>
      <c r="D150" s="8"/>
      <c r="E150" s="8"/>
      <c r="F150" s="8"/>
      <c r="G150" s="8"/>
      <c r="H150" s="8"/>
      <c r="I150" s="8"/>
      <c r="J150" s="15" t="e">
        <f t="shared" si="11"/>
        <v>#DIV/0!</v>
      </c>
      <c r="K150" s="8"/>
      <c r="L150" s="8"/>
      <c r="M150" s="15" t="e">
        <f t="shared" si="12"/>
        <v>#DIV/0!</v>
      </c>
      <c r="N150" s="8"/>
      <c r="O150" s="8"/>
      <c r="P150" s="15" t="e">
        <f t="shared" si="13"/>
        <v>#DIV/0!</v>
      </c>
      <c r="Q150" s="10"/>
      <c r="R150" s="359" t="e">
        <f t="shared" si="14"/>
        <v>#DIV/0!</v>
      </c>
      <c r="S150" s="360"/>
      <c r="T150" s="360"/>
      <c r="U150" s="361"/>
      <c r="V150" s="33" t="e">
        <f t="shared" si="15"/>
        <v>#DIV/0!</v>
      </c>
      <c r="W150" s="24"/>
      <c r="X150" s="10"/>
    </row>
    <row r="151" spans="1:24" ht="15.75" customHeight="1" x14ac:dyDescent="0.25">
      <c r="A151" s="38">
        <v>39</v>
      </c>
      <c r="B151" s="72"/>
      <c r="C151" s="45"/>
      <c r="D151" s="8"/>
      <c r="E151" s="8"/>
      <c r="F151" s="8"/>
      <c r="G151" s="8"/>
      <c r="H151" s="8"/>
      <c r="I151" s="8"/>
      <c r="J151" s="15" t="e">
        <f t="shared" si="11"/>
        <v>#DIV/0!</v>
      </c>
      <c r="K151" s="8"/>
      <c r="L151" s="8"/>
      <c r="M151" s="15" t="e">
        <f t="shared" si="12"/>
        <v>#DIV/0!</v>
      </c>
      <c r="N151" s="8"/>
      <c r="O151" s="8"/>
      <c r="P151" s="15" t="e">
        <f t="shared" si="13"/>
        <v>#DIV/0!</v>
      </c>
      <c r="Q151" s="10"/>
      <c r="R151" s="359" t="e">
        <f t="shared" si="14"/>
        <v>#DIV/0!</v>
      </c>
      <c r="S151" s="360"/>
      <c r="T151" s="360"/>
      <c r="U151" s="361"/>
      <c r="V151" s="33" t="e">
        <f t="shared" si="15"/>
        <v>#DIV/0!</v>
      </c>
      <c r="W151" s="24"/>
      <c r="X151" s="10"/>
    </row>
    <row r="152" spans="1:24" ht="15.75" customHeight="1" x14ac:dyDescent="0.25">
      <c r="A152" s="38">
        <v>40</v>
      </c>
      <c r="B152" s="36"/>
      <c r="C152" s="45"/>
      <c r="D152" s="8"/>
      <c r="E152" s="8"/>
      <c r="F152" s="8"/>
      <c r="G152" s="8"/>
      <c r="H152" s="8"/>
      <c r="I152" s="8"/>
      <c r="J152" s="15" t="e">
        <f t="shared" si="11"/>
        <v>#DIV/0!</v>
      </c>
      <c r="K152" s="8"/>
      <c r="L152" s="8"/>
      <c r="M152" s="15" t="e">
        <f t="shared" si="12"/>
        <v>#DIV/0!</v>
      </c>
      <c r="N152" s="8"/>
      <c r="O152" s="8"/>
      <c r="P152" s="15" t="e">
        <f t="shared" si="13"/>
        <v>#DIV/0!</v>
      </c>
      <c r="Q152" s="10"/>
      <c r="R152" s="359" t="e">
        <f t="shared" si="14"/>
        <v>#DIV/0!</v>
      </c>
      <c r="S152" s="360"/>
      <c r="T152" s="360"/>
      <c r="U152" s="361"/>
      <c r="V152" s="33" t="e">
        <f t="shared" si="15"/>
        <v>#DIV/0!</v>
      </c>
      <c r="W152" s="24"/>
      <c r="X152" s="10"/>
    </row>
    <row r="153" spans="1:24" ht="15.75" customHeight="1" x14ac:dyDescent="0.25">
      <c r="A153" s="38">
        <v>41</v>
      </c>
      <c r="B153" s="36"/>
      <c r="C153" s="45"/>
      <c r="D153" s="8"/>
      <c r="E153" s="8"/>
      <c r="F153" s="8"/>
      <c r="G153" s="8"/>
      <c r="H153" s="8"/>
      <c r="I153" s="8"/>
      <c r="J153" s="15" t="e">
        <f t="shared" si="11"/>
        <v>#DIV/0!</v>
      </c>
      <c r="K153" s="8"/>
      <c r="L153" s="8"/>
      <c r="M153" s="15" t="e">
        <f t="shared" si="12"/>
        <v>#DIV/0!</v>
      </c>
      <c r="N153" s="8"/>
      <c r="O153" s="8"/>
      <c r="P153" s="15" t="e">
        <f t="shared" si="13"/>
        <v>#DIV/0!</v>
      </c>
      <c r="Q153" s="10"/>
      <c r="R153" s="359" t="e">
        <f t="shared" si="14"/>
        <v>#DIV/0!</v>
      </c>
      <c r="S153" s="360"/>
      <c r="T153" s="360"/>
      <c r="U153" s="361"/>
      <c r="V153" s="33" t="e">
        <f t="shared" si="15"/>
        <v>#DIV/0!</v>
      </c>
      <c r="W153" s="24"/>
      <c r="X153" s="10"/>
    </row>
    <row r="154" spans="1:24" ht="15.75" customHeight="1" x14ac:dyDescent="0.25">
      <c r="A154" s="38">
        <v>42</v>
      </c>
      <c r="B154" s="42"/>
      <c r="C154" s="45"/>
      <c r="D154" s="8"/>
      <c r="E154" s="8"/>
      <c r="F154" s="8"/>
      <c r="G154" s="8"/>
      <c r="H154" s="8"/>
      <c r="I154" s="8"/>
      <c r="J154" s="15" t="e">
        <f t="shared" si="11"/>
        <v>#DIV/0!</v>
      </c>
      <c r="K154" s="8"/>
      <c r="L154" s="8"/>
      <c r="M154" s="15" t="e">
        <f t="shared" si="12"/>
        <v>#DIV/0!</v>
      </c>
      <c r="N154" s="8"/>
      <c r="O154" s="8"/>
      <c r="P154" s="15" t="e">
        <f t="shared" si="13"/>
        <v>#DIV/0!</v>
      </c>
      <c r="Q154" s="10"/>
      <c r="R154" s="359" t="e">
        <f t="shared" si="14"/>
        <v>#DIV/0!</v>
      </c>
      <c r="S154" s="360"/>
      <c r="T154" s="360"/>
      <c r="U154" s="361"/>
      <c r="V154" s="33" t="e">
        <f t="shared" si="15"/>
        <v>#DIV/0!</v>
      </c>
      <c r="W154" s="24"/>
      <c r="X154" s="10"/>
    </row>
    <row r="155" spans="1:24" ht="15.75" customHeight="1" x14ac:dyDescent="0.25">
      <c r="A155" s="38">
        <v>43</v>
      </c>
      <c r="B155" s="36" t="str">
        <f t="shared" ref="B155" si="16">CONCATENATE(W155," ",X155," ",Y155," ",Z155,)</f>
        <v xml:space="preserve">   </v>
      </c>
      <c r="C155" s="45"/>
      <c r="D155" s="8"/>
      <c r="E155" s="8"/>
      <c r="F155" s="8"/>
      <c r="G155" s="8"/>
      <c r="H155" s="8"/>
      <c r="I155" s="8"/>
      <c r="J155" s="15" t="e">
        <f t="shared" si="11"/>
        <v>#DIV/0!</v>
      </c>
      <c r="K155" s="8"/>
      <c r="L155" s="8"/>
      <c r="M155" s="15" t="e">
        <f t="shared" si="12"/>
        <v>#DIV/0!</v>
      </c>
      <c r="N155" s="8"/>
      <c r="O155" s="8"/>
      <c r="P155" s="15" t="e">
        <f t="shared" si="13"/>
        <v>#DIV/0!</v>
      </c>
      <c r="Q155" s="10"/>
      <c r="R155" s="359" t="e">
        <f t="shared" si="14"/>
        <v>#DIV/0!</v>
      </c>
      <c r="S155" s="360"/>
      <c r="T155" s="360"/>
      <c r="U155" s="361"/>
      <c r="V155" s="33" t="e">
        <f t="shared" si="15"/>
        <v>#DIV/0!</v>
      </c>
      <c r="W155" s="24"/>
      <c r="X155" s="10"/>
    </row>
    <row r="156" spans="1:24" ht="15.75" customHeight="1" x14ac:dyDescent="0.25">
      <c r="A156" s="38">
        <v>44</v>
      </c>
      <c r="B156" s="40"/>
      <c r="C156" s="45"/>
      <c r="D156" s="8"/>
      <c r="E156" s="8"/>
      <c r="F156" s="8"/>
      <c r="G156" s="8"/>
      <c r="H156" s="8"/>
      <c r="I156" s="8"/>
      <c r="J156" s="15" t="e">
        <f t="shared" si="11"/>
        <v>#DIV/0!</v>
      </c>
      <c r="K156" s="8"/>
      <c r="L156" s="8"/>
      <c r="M156" s="15" t="e">
        <f t="shared" si="12"/>
        <v>#DIV/0!</v>
      </c>
      <c r="N156" s="8"/>
      <c r="O156" s="8"/>
      <c r="P156" s="15" t="e">
        <f t="shared" si="13"/>
        <v>#DIV/0!</v>
      </c>
      <c r="Q156" s="10"/>
      <c r="R156" s="359" t="e">
        <f t="shared" si="14"/>
        <v>#DIV/0!</v>
      </c>
      <c r="S156" s="360"/>
      <c r="T156" s="360"/>
      <c r="U156" s="361"/>
      <c r="V156" s="33" t="e">
        <f t="shared" si="15"/>
        <v>#DIV/0!</v>
      </c>
      <c r="W156" s="24"/>
      <c r="X156" s="10"/>
    </row>
    <row r="157" spans="1:24" ht="15.75" customHeight="1" x14ac:dyDescent="0.25">
      <c r="A157" s="38">
        <v>45</v>
      </c>
      <c r="B157" s="40"/>
      <c r="C157" s="45"/>
      <c r="D157" s="8"/>
      <c r="E157" s="8"/>
      <c r="F157" s="8"/>
      <c r="G157" s="8"/>
      <c r="H157" s="8"/>
      <c r="I157" s="8"/>
      <c r="J157" s="15" t="e">
        <f t="shared" si="11"/>
        <v>#DIV/0!</v>
      </c>
      <c r="K157" s="8"/>
      <c r="L157" s="8"/>
      <c r="M157" s="15" t="e">
        <f t="shared" si="12"/>
        <v>#DIV/0!</v>
      </c>
      <c r="N157" s="8"/>
      <c r="O157" s="8"/>
      <c r="P157" s="15" t="e">
        <f t="shared" si="13"/>
        <v>#DIV/0!</v>
      </c>
      <c r="Q157" s="10"/>
      <c r="R157" s="359" t="e">
        <f t="shared" si="14"/>
        <v>#DIV/0!</v>
      </c>
      <c r="S157" s="360"/>
      <c r="T157" s="360"/>
      <c r="U157" s="361"/>
      <c r="V157" s="33" t="e">
        <f t="shared" si="15"/>
        <v>#DIV/0!</v>
      </c>
      <c r="W157" s="24"/>
      <c r="X157" s="10"/>
    </row>
    <row r="158" spans="1:24" ht="15.75" customHeight="1" thickBot="1" x14ac:dyDescent="0.3">
      <c r="A158" s="39">
        <v>46</v>
      </c>
      <c r="B158" s="41"/>
      <c r="C158" s="46"/>
      <c r="D158" s="47"/>
      <c r="E158" s="47"/>
      <c r="F158" s="47"/>
      <c r="G158" s="47"/>
      <c r="H158" s="47"/>
      <c r="I158" s="47"/>
      <c r="J158" s="48" t="e">
        <f t="shared" si="11"/>
        <v>#DIV/0!</v>
      </c>
      <c r="K158" s="47"/>
      <c r="L158" s="47"/>
      <c r="M158" s="48" t="e">
        <f t="shared" si="12"/>
        <v>#DIV/0!</v>
      </c>
      <c r="N158" s="47"/>
      <c r="O158" s="47"/>
      <c r="P158" s="48" t="e">
        <f t="shared" si="13"/>
        <v>#DIV/0!</v>
      </c>
      <c r="Q158" s="49"/>
      <c r="R158" s="370" t="e">
        <f t="shared" si="14"/>
        <v>#DIV/0!</v>
      </c>
      <c r="S158" s="371"/>
      <c r="T158" s="371"/>
      <c r="U158" s="372"/>
      <c r="V158" s="50" t="e">
        <f t="shared" si="15"/>
        <v>#DIV/0!</v>
      </c>
      <c r="W158" s="24"/>
      <c r="X158" s="10"/>
    </row>
    <row r="159" spans="1:24" ht="15.75" customHeight="1" x14ac:dyDescent="0.25">
      <c r="A159" s="263"/>
      <c r="B159" s="375"/>
      <c r="C159" s="257"/>
      <c r="D159" s="257"/>
      <c r="E159" s="267"/>
      <c r="F159" s="270"/>
      <c r="G159" s="270"/>
      <c r="H159" s="270"/>
      <c r="I159" s="270"/>
      <c r="J159" s="272"/>
      <c r="K159" s="272"/>
      <c r="L159" s="257"/>
      <c r="M159" s="259"/>
      <c r="N159" s="259"/>
      <c r="O159" s="259"/>
      <c r="P159" s="259"/>
      <c r="Q159" s="261"/>
      <c r="R159" s="277"/>
      <c r="S159" s="278"/>
      <c r="T159" s="279"/>
      <c r="U159" s="283"/>
      <c r="V159" s="284"/>
      <c r="W159" s="255"/>
      <c r="X159" s="181"/>
    </row>
    <row r="160" spans="1:24" ht="15.75" customHeight="1" x14ac:dyDescent="0.25">
      <c r="A160" s="264"/>
      <c r="B160" s="374"/>
      <c r="C160" s="205"/>
      <c r="D160" s="205"/>
      <c r="E160" s="210"/>
      <c r="F160" s="211"/>
      <c r="G160" s="211"/>
      <c r="H160" s="211"/>
      <c r="I160" s="211"/>
      <c r="J160" s="204"/>
      <c r="K160" s="204"/>
      <c r="L160" s="205"/>
      <c r="M160" s="185"/>
      <c r="N160" s="185"/>
      <c r="O160" s="185"/>
      <c r="P160" s="185"/>
      <c r="Q160" s="187"/>
      <c r="R160" s="188"/>
      <c r="S160" s="189"/>
      <c r="T160" s="190"/>
      <c r="U160" s="194"/>
      <c r="V160" s="285"/>
      <c r="W160" s="255"/>
      <c r="X160" s="181"/>
    </row>
    <row r="161" spans="1:24" ht="15.75" customHeight="1" x14ac:dyDescent="0.25">
      <c r="A161" s="264"/>
      <c r="B161" s="183"/>
      <c r="C161" s="205"/>
      <c r="D161" s="205"/>
      <c r="E161" s="210"/>
      <c r="F161" s="211"/>
      <c r="G161" s="211"/>
      <c r="H161" s="211"/>
      <c r="I161" s="211"/>
      <c r="J161" s="204"/>
      <c r="K161" s="204"/>
      <c r="L161" s="205"/>
      <c r="M161" s="185"/>
      <c r="N161" s="185"/>
      <c r="O161" s="185"/>
      <c r="P161" s="185"/>
      <c r="Q161" s="187"/>
      <c r="R161" s="188"/>
      <c r="S161" s="189"/>
      <c r="T161" s="190"/>
      <c r="U161" s="194"/>
      <c r="V161" s="285"/>
      <c r="W161" s="255"/>
      <c r="X161" s="181"/>
    </row>
    <row r="162" spans="1:24" ht="15.75" customHeight="1" thickBot="1" x14ac:dyDescent="0.3">
      <c r="A162" s="265"/>
      <c r="B162" s="269"/>
      <c r="C162" s="258"/>
      <c r="D162" s="258"/>
      <c r="E162" s="268"/>
      <c r="F162" s="271"/>
      <c r="G162" s="271"/>
      <c r="H162" s="271"/>
      <c r="I162" s="271"/>
      <c r="J162" s="273"/>
      <c r="K162" s="273"/>
      <c r="L162" s="258"/>
      <c r="M162" s="260"/>
      <c r="N162" s="260"/>
      <c r="O162" s="260"/>
      <c r="P162" s="260"/>
      <c r="Q162" s="262"/>
      <c r="R162" s="280"/>
      <c r="S162" s="281"/>
      <c r="T162" s="282"/>
      <c r="U162" s="286"/>
      <c r="V162" s="287"/>
      <c r="W162" s="256"/>
      <c r="X162" s="182"/>
    </row>
    <row r="163" spans="1:24" ht="15.75" customHeight="1" x14ac:dyDescent="0.25"/>
    <row r="164" spans="1:24" ht="15.75" customHeight="1" x14ac:dyDescent="0.25"/>
    <row r="165" spans="1:24" ht="15.75" customHeight="1" thickBot="1" x14ac:dyDescent="0.3"/>
    <row r="166" spans="1:24" ht="87.75" customHeight="1" thickBot="1" x14ac:dyDescent="0.3">
      <c r="A166" s="290"/>
      <c r="B166" s="291"/>
      <c r="C166" s="291"/>
      <c r="D166" s="291"/>
      <c r="E166" s="291"/>
      <c r="F166" s="291"/>
      <c r="G166" s="291"/>
      <c r="H166" s="291"/>
      <c r="I166" s="291"/>
      <c r="J166" s="291"/>
      <c r="K166" s="291"/>
      <c r="L166" s="291"/>
      <c r="M166" s="291"/>
      <c r="N166" s="291"/>
      <c r="O166" s="291"/>
      <c r="P166" s="292"/>
      <c r="Q166" s="310"/>
      <c r="R166" s="228"/>
      <c r="S166" s="228"/>
      <c r="T166" s="228"/>
      <c r="U166" s="228"/>
      <c r="V166" s="228"/>
      <c r="W166" s="228"/>
      <c r="X166" s="229"/>
    </row>
    <row r="167" spans="1:24" ht="15.75" customHeight="1" thickBot="1" x14ac:dyDescent="0.3">
      <c r="A167" s="218" t="s">
        <v>281</v>
      </c>
      <c r="B167" s="219"/>
      <c r="C167" s="220" t="s">
        <v>931</v>
      </c>
      <c r="D167" s="221"/>
      <c r="E167" s="221"/>
      <c r="F167" s="221"/>
      <c r="G167" s="221"/>
      <c r="H167" s="221"/>
      <c r="I167" s="222"/>
      <c r="J167" s="223" t="s">
        <v>20</v>
      </c>
      <c r="K167" s="224"/>
      <c r="L167" s="224"/>
      <c r="M167" s="224"/>
      <c r="N167" s="225"/>
      <c r="O167" s="225"/>
      <c r="P167" s="225"/>
      <c r="Q167" s="226"/>
      <c r="R167" s="227" t="s">
        <v>152</v>
      </c>
      <c r="S167" s="228"/>
      <c r="T167" s="228"/>
      <c r="U167" s="228"/>
      <c r="V167" s="228"/>
      <c r="W167" s="228"/>
      <c r="X167" s="229"/>
    </row>
    <row r="168" spans="1:24" ht="15.75" customHeight="1" x14ac:dyDescent="0.25">
      <c r="A168" s="352" t="s">
        <v>0</v>
      </c>
      <c r="B168" s="355" t="s">
        <v>1</v>
      </c>
      <c r="C168" s="358" t="s">
        <v>12</v>
      </c>
      <c r="D168" s="235"/>
      <c r="E168" s="235"/>
      <c r="F168" s="235"/>
      <c r="G168" s="235"/>
      <c r="H168" s="235"/>
      <c r="I168" s="235"/>
      <c r="J168" s="235"/>
      <c r="K168" s="236" t="s">
        <v>13</v>
      </c>
      <c r="L168" s="237"/>
      <c r="M168" s="237"/>
      <c r="N168" s="240" t="s">
        <v>15</v>
      </c>
      <c r="O168" s="240"/>
      <c r="P168" s="240"/>
      <c r="Q168" s="241" t="s">
        <v>4</v>
      </c>
      <c r="R168" s="378" t="s">
        <v>11</v>
      </c>
      <c r="S168" s="379"/>
      <c r="T168" s="379"/>
      <c r="U168" s="379"/>
      <c r="V168" s="380"/>
      <c r="W168" s="384" t="s">
        <v>2</v>
      </c>
      <c r="X168" s="247"/>
    </row>
    <row r="169" spans="1:24" ht="15.75" customHeight="1" thickBot="1" x14ac:dyDescent="0.3">
      <c r="A169" s="353"/>
      <c r="B169" s="356"/>
      <c r="C169" s="364" t="s">
        <v>6</v>
      </c>
      <c r="D169" s="248" t="s">
        <v>17</v>
      </c>
      <c r="E169" s="248" t="s">
        <v>5</v>
      </c>
      <c r="F169" s="250"/>
      <c r="G169" s="250"/>
      <c r="H169" s="250"/>
      <c r="I169" s="251" t="s">
        <v>16</v>
      </c>
      <c r="J169" s="350" t="s">
        <v>14</v>
      </c>
      <c r="K169" s="238"/>
      <c r="L169" s="239"/>
      <c r="M169" s="239"/>
      <c r="N169" s="240"/>
      <c r="O169" s="240"/>
      <c r="P169" s="240"/>
      <c r="Q169" s="242"/>
      <c r="R169" s="381"/>
      <c r="S169" s="382"/>
      <c r="T169" s="382"/>
      <c r="U169" s="382"/>
      <c r="V169" s="383"/>
      <c r="W169" s="184"/>
      <c r="X169" s="187"/>
    </row>
    <row r="170" spans="1:24" ht="54" customHeight="1" thickBot="1" x14ac:dyDescent="0.3">
      <c r="A170" s="354"/>
      <c r="B170" s="357"/>
      <c r="C170" s="364"/>
      <c r="D170" s="248"/>
      <c r="E170" s="248"/>
      <c r="F170" s="248"/>
      <c r="G170" s="248"/>
      <c r="H170" s="248"/>
      <c r="I170" s="328"/>
      <c r="J170" s="351"/>
      <c r="K170" s="27" t="s">
        <v>9</v>
      </c>
      <c r="L170" s="27" t="s">
        <v>10</v>
      </c>
      <c r="M170" s="43" t="s">
        <v>3</v>
      </c>
      <c r="N170" s="27" t="s">
        <v>9</v>
      </c>
      <c r="O170" s="27" t="s">
        <v>10</v>
      </c>
      <c r="P170" s="25" t="s">
        <v>3</v>
      </c>
      <c r="Q170" s="321"/>
      <c r="R170" s="322" t="s">
        <v>7</v>
      </c>
      <c r="S170" s="323"/>
      <c r="T170" s="323"/>
      <c r="U170" s="324"/>
      <c r="V170" s="12" t="s">
        <v>8</v>
      </c>
      <c r="W170" s="5">
        <v>1</v>
      </c>
      <c r="X170" s="5">
        <v>2</v>
      </c>
    </row>
    <row r="171" spans="1:24" ht="15.75" customHeight="1" x14ac:dyDescent="0.25">
      <c r="A171" s="38">
        <v>1</v>
      </c>
      <c r="B171" s="123" t="s">
        <v>654</v>
      </c>
      <c r="C171" s="44"/>
      <c r="D171" s="30"/>
      <c r="E171" s="30"/>
      <c r="F171" s="30"/>
      <c r="G171" s="30"/>
      <c r="H171" s="30"/>
      <c r="I171" s="30"/>
      <c r="J171" s="31" t="e">
        <f>((AVERAGE(C171:H171))*72%)+I171*8%</f>
        <v>#DIV/0!</v>
      </c>
      <c r="K171" s="30"/>
      <c r="L171" s="30"/>
      <c r="M171" s="31" t="e">
        <f>(AVERAGE(K171:L171))*10%</f>
        <v>#DIV/0!</v>
      </c>
      <c r="N171" s="30"/>
      <c r="O171" s="30"/>
      <c r="P171" s="31" t="e">
        <f>(AVERAGE(N171:O171))*10%</f>
        <v>#DIV/0!</v>
      </c>
      <c r="Q171" s="30"/>
      <c r="R171" s="367" t="e">
        <f>IF(V171&lt;65,"BAJO",IF(V171&lt;=79,"BASICO",IF(V171&lt;=89,"ALTO",IF(V171&lt;=100,"SUPERIOR"))))</f>
        <v>#DIV/0!</v>
      </c>
      <c r="S171" s="368"/>
      <c r="T171" s="368"/>
      <c r="U171" s="376"/>
      <c r="V171" s="51" t="e">
        <f>J171+M171+P171</f>
        <v>#DIV/0!</v>
      </c>
      <c r="W171" s="10"/>
      <c r="X171" s="10"/>
    </row>
    <row r="172" spans="1:24" ht="15.75" customHeight="1" x14ac:dyDescent="0.25">
      <c r="A172" s="38">
        <v>2</v>
      </c>
      <c r="B172" s="124" t="s">
        <v>655</v>
      </c>
      <c r="C172" s="45"/>
      <c r="D172" s="8"/>
      <c r="E172" s="8"/>
      <c r="F172" s="8"/>
      <c r="G172" s="8"/>
      <c r="H172" s="8"/>
      <c r="I172" s="9"/>
      <c r="J172" s="15" t="e">
        <f t="shared" ref="J172:J216" si="17">((AVERAGE(C172:H172))*72%)+I172*8%</f>
        <v>#DIV/0!</v>
      </c>
      <c r="K172" s="8"/>
      <c r="L172" s="8"/>
      <c r="M172" s="15" t="e">
        <f t="shared" ref="M172:M216" si="18">(AVERAGE(K172:L172))*10%</f>
        <v>#DIV/0!</v>
      </c>
      <c r="N172" s="8"/>
      <c r="O172" s="8"/>
      <c r="P172" s="15" t="e">
        <f t="shared" ref="P172:P216" si="19">(AVERAGE(N172:O172))*10%</f>
        <v>#DIV/0!</v>
      </c>
      <c r="Q172" s="11"/>
      <c r="R172" s="359" t="e">
        <f t="shared" ref="R172:R216" si="20">IF(V172&lt;65,"BAJO",IF(V172&lt;=79,"BASICO",IF(V172&lt;=89,"ALTO",IF(V172&lt;=100,"SUPERIOR"))))</f>
        <v>#DIV/0!</v>
      </c>
      <c r="S172" s="360"/>
      <c r="T172" s="360"/>
      <c r="U172" s="377"/>
      <c r="V172" s="51" t="e">
        <f t="shared" ref="V172:V216" si="21">J172+M172+P172</f>
        <v>#DIV/0!</v>
      </c>
      <c r="W172" s="10"/>
      <c r="X172" s="10"/>
    </row>
    <row r="173" spans="1:24" ht="15.75" customHeight="1" x14ac:dyDescent="0.25">
      <c r="A173" s="38">
        <v>3</v>
      </c>
      <c r="B173" s="124" t="s">
        <v>656</v>
      </c>
      <c r="C173" s="45"/>
      <c r="D173" s="8"/>
      <c r="E173" s="8"/>
      <c r="F173" s="8"/>
      <c r="G173" s="8"/>
      <c r="H173" s="8"/>
      <c r="I173" s="9"/>
      <c r="J173" s="15" t="e">
        <f t="shared" si="17"/>
        <v>#DIV/0!</v>
      </c>
      <c r="K173" s="8"/>
      <c r="L173" s="8"/>
      <c r="M173" s="15" t="e">
        <f t="shared" si="18"/>
        <v>#DIV/0!</v>
      </c>
      <c r="N173" s="8"/>
      <c r="O173" s="8"/>
      <c r="P173" s="15" t="e">
        <f t="shared" si="19"/>
        <v>#DIV/0!</v>
      </c>
      <c r="Q173" s="11"/>
      <c r="R173" s="359" t="e">
        <f t="shared" si="20"/>
        <v>#DIV/0!</v>
      </c>
      <c r="S173" s="360"/>
      <c r="T173" s="360"/>
      <c r="U173" s="377"/>
      <c r="V173" s="51" t="e">
        <f t="shared" si="21"/>
        <v>#DIV/0!</v>
      </c>
      <c r="W173" s="10"/>
      <c r="X173" s="10"/>
    </row>
    <row r="174" spans="1:24" ht="15.75" customHeight="1" x14ac:dyDescent="0.25">
      <c r="A174" s="38">
        <v>4</v>
      </c>
      <c r="B174" s="124" t="s">
        <v>657</v>
      </c>
      <c r="C174" s="45"/>
      <c r="D174" s="8"/>
      <c r="E174" s="8"/>
      <c r="F174" s="8"/>
      <c r="G174" s="8"/>
      <c r="H174" s="8"/>
      <c r="I174" s="8"/>
      <c r="J174" s="15" t="e">
        <f t="shared" si="17"/>
        <v>#DIV/0!</v>
      </c>
      <c r="K174" s="8"/>
      <c r="L174" s="8"/>
      <c r="M174" s="15" t="e">
        <f t="shared" si="18"/>
        <v>#DIV/0!</v>
      </c>
      <c r="N174" s="8"/>
      <c r="O174" s="8"/>
      <c r="P174" s="15" t="e">
        <f t="shared" si="19"/>
        <v>#DIV/0!</v>
      </c>
      <c r="Q174" s="11"/>
      <c r="R174" s="359" t="e">
        <f t="shared" si="20"/>
        <v>#DIV/0!</v>
      </c>
      <c r="S174" s="360"/>
      <c r="T174" s="360"/>
      <c r="U174" s="377"/>
      <c r="V174" s="51" t="e">
        <f t="shared" si="21"/>
        <v>#DIV/0!</v>
      </c>
      <c r="W174" s="10"/>
      <c r="X174" s="10"/>
    </row>
    <row r="175" spans="1:24" ht="15.75" customHeight="1" x14ac:dyDescent="0.25">
      <c r="A175" s="38">
        <v>5</v>
      </c>
      <c r="B175" s="124" t="s">
        <v>658</v>
      </c>
      <c r="C175" s="45"/>
      <c r="D175" s="8"/>
      <c r="E175" s="8"/>
      <c r="F175" s="8"/>
      <c r="G175" s="8"/>
      <c r="H175" s="8"/>
      <c r="I175" s="8"/>
      <c r="J175" s="15" t="e">
        <f t="shared" si="17"/>
        <v>#DIV/0!</v>
      </c>
      <c r="K175" s="8"/>
      <c r="L175" s="8"/>
      <c r="M175" s="15" t="e">
        <f t="shared" si="18"/>
        <v>#DIV/0!</v>
      </c>
      <c r="N175" s="8"/>
      <c r="O175" s="8"/>
      <c r="P175" s="15" t="e">
        <f t="shared" si="19"/>
        <v>#DIV/0!</v>
      </c>
      <c r="Q175" s="10"/>
      <c r="R175" s="359" t="e">
        <f t="shared" si="20"/>
        <v>#DIV/0!</v>
      </c>
      <c r="S175" s="360"/>
      <c r="T175" s="360"/>
      <c r="U175" s="377"/>
      <c r="V175" s="51" t="e">
        <f t="shared" si="21"/>
        <v>#DIV/0!</v>
      </c>
      <c r="W175" s="10"/>
      <c r="X175" s="10"/>
    </row>
    <row r="176" spans="1:24" ht="15.75" customHeight="1" x14ac:dyDescent="0.25">
      <c r="A176" s="38">
        <v>6</v>
      </c>
      <c r="B176" s="132" t="s">
        <v>929</v>
      </c>
      <c r="C176" s="45"/>
      <c r="D176" s="8"/>
      <c r="E176" s="8"/>
      <c r="F176" s="8"/>
      <c r="G176" s="8"/>
      <c r="H176" s="8"/>
      <c r="I176" s="8"/>
      <c r="J176" s="15" t="e">
        <f t="shared" si="17"/>
        <v>#DIV/0!</v>
      </c>
      <c r="K176" s="8"/>
      <c r="L176" s="8"/>
      <c r="M176" s="15" t="e">
        <f t="shared" si="18"/>
        <v>#DIV/0!</v>
      </c>
      <c r="N176" s="8"/>
      <c r="O176" s="8"/>
      <c r="P176" s="15" t="e">
        <f t="shared" si="19"/>
        <v>#DIV/0!</v>
      </c>
      <c r="Q176" s="10"/>
      <c r="R176" s="359" t="e">
        <f t="shared" si="20"/>
        <v>#DIV/0!</v>
      </c>
      <c r="S176" s="360"/>
      <c r="T176" s="360"/>
      <c r="U176" s="377"/>
      <c r="V176" s="51" t="e">
        <f t="shared" si="21"/>
        <v>#DIV/0!</v>
      </c>
      <c r="W176" s="10"/>
      <c r="X176" s="10"/>
    </row>
    <row r="177" spans="1:24" ht="15.75" customHeight="1" x14ac:dyDescent="0.25">
      <c r="A177" s="38">
        <v>7</v>
      </c>
      <c r="B177" s="124" t="s">
        <v>659</v>
      </c>
      <c r="C177" s="45"/>
      <c r="D177" s="8"/>
      <c r="E177" s="8"/>
      <c r="F177" s="8"/>
      <c r="G177" s="8"/>
      <c r="H177" s="8"/>
      <c r="I177" s="8"/>
      <c r="J177" s="15" t="e">
        <f t="shared" si="17"/>
        <v>#DIV/0!</v>
      </c>
      <c r="K177" s="8"/>
      <c r="L177" s="8"/>
      <c r="M177" s="15" t="e">
        <f t="shared" si="18"/>
        <v>#DIV/0!</v>
      </c>
      <c r="N177" s="8"/>
      <c r="O177" s="8"/>
      <c r="P177" s="15" t="e">
        <f t="shared" si="19"/>
        <v>#DIV/0!</v>
      </c>
      <c r="Q177" s="10"/>
      <c r="R177" s="359" t="e">
        <f t="shared" si="20"/>
        <v>#DIV/0!</v>
      </c>
      <c r="S177" s="360"/>
      <c r="T177" s="360"/>
      <c r="U177" s="377"/>
      <c r="V177" s="51" t="e">
        <f t="shared" si="21"/>
        <v>#DIV/0!</v>
      </c>
      <c r="W177" s="10"/>
      <c r="X177" s="10"/>
    </row>
    <row r="178" spans="1:24" ht="15.75" customHeight="1" x14ac:dyDescent="0.25">
      <c r="A178" s="38">
        <v>8</v>
      </c>
      <c r="B178" s="124" t="s">
        <v>660</v>
      </c>
      <c r="C178" s="45"/>
      <c r="D178" s="8"/>
      <c r="E178" s="8"/>
      <c r="F178" s="8"/>
      <c r="G178" s="8"/>
      <c r="H178" s="8"/>
      <c r="I178" s="8"/>
      <c r="J178" s="15" t="e">
        <f t="shared" si="17"/>
        <v>#DIV/0!</v>
      </c>
      <c r="K178" s="8"/>
      <c r="L178" s="8"/>
      <c r="M178" s="15" t="e">
        <f t="shared" si="18"/>
        <v>#DIV/0!</v>
      </c>
      <c r="N178" s="8"/>
      <c r="O178" s="8"/>
      <c r="P178" s="15" t="e">
        <f t="shared" si="19"/>
        <v>#DIV/0!</v>
      </c>
      <c r="Q178" s="10"/>
      <c r="R178" s="359" t="e">
        <f t="shared" si="20"/>
        <v>#DIV/0!</v>
      </c>
      <c r="S178" s="360"/>
      <c r="T178" s="360"/>
      <c r="U178" s="377"/>
      <c r="V178" s="51" t="e">
        <f t="shared" si="21"/>
        <v>#DIV/0!</v>
      </c>
      <c r="W178" s="10"/>
      <c r="X178" s="10"/>
    </row>
    <row r="179" spans="1:24" ht="15.75" customHeight="1" x14ac:dyDescent="0.25">
      <c r="A179" s="38">
        <v>9</v>
      </c>
      <c r="B179" s="124" t="s">
        <v>661</v>
      </c>
      <c r="C179" s="45"/>
      <c r="D179" s="8"/>
      <c r="E179" s="8"/>
      <c r="F179" s="8"/>
      <c r="G179" s="8"/>
      <c r="H179" s="8"/>
      <c r="I179" s="8"/>
      <c r="J179" s="15" t="e">
        <f t="shared" si="17"/>
        <v>#DIV/0!</v>
      </c>
      <c r="K179" s="8"/>
      <c r="L179" s="8"/>
      <c r="M179" s="15" t="e">
        <f t="shared" si="18"/>
        <v>#DIV/0!</v>
      </c>
      <c r="N179" s="8"/>
      <c r="O179" s="8"/>
      <c r="P179" s="15" t="e">
        <f t="shared" si="19"/>
        <v>#DIV/0!</v>
      </c>
      <c r="Q179" s="10"/>
      <c r="R179" s="359" t="e">
        <f t="shared" si="20"/>
        <v>#DIV/0!</v>
      </c>
      <c r="S179" s="360"/>
      <c r="T179" s="360"/>
      <c r="U179" s="377"/>
      <c r="V179" s="51" t="e">
        <f t="shared" si="21"/>
        <v>#DIV/0!</v>
      </c>
      <c r="W179" s="10"/>
      <c r="X179" s="10"/>
    </row>
    <row r="180" spans="1:24" ht="15.75" customHeight="1" x14ac:dyDescent="0.25">
      <c r="A180" s="38">
        <v>10</v>
      </c>
      <c r="B180" s="124" t="s">
        <v>662</v>
      </c>
      <c r="C180" s="45"/>
      <c r="D180" s="8"/>
      <c r="E180" s="8"/>
      <c r="F180" s="8"/>
      <c r="G180" s="8"/>
      <c r="H180" s="8"/>
      <c r="I180" s="8"/>
      <c r="J180" s="15" t="e">
        <f t="shared" si="17"/>
        <v>#DIV/0!</v>
      </c>
      <c r="K180" s="8"/>
      <c r="L180" s="8"/>
      <c r="M180" s="15" t="e">
        <f t="shared" si="18"/>
        <v>#DIV/0!</v>
      </c>
      <c r="N180" s="8"/>
      <c r="O180" s="8"/>
      <c r="P180" s="15" t="e">
        <f t="shared" si="19"/>
        <v>#DIV/0!</v>
      </c>
      <c r="Q180" s="10"/>
      <c r="R180" s="359" t="e">
        <f t="shared" si="20"/>
        <v>#DIV/0!</v>
      </c>
      <c r="S180" s="360"/>
      <c r="T180" s="360"/>
      <c r="U180" s="377"/>
      <c r="V180" s="51" t="e">
        <f t="shared" si="21"/>
        <v>#DIV/0!</v>
      </c>
      <c r="W180" s="10"/>
      <c r="X180" s="10"/>
    </row>
    <row r="181" spans="1:24" ht="15.75" customHeight="1" x14ac:dyDescent="0.25">
      <c r="A181" s="38">
        <v>11</v>
      </c>
      <c r="B181" s="124" t="s">
        <v>663</v>
      </c>
      <c r="C181" s="45"/>
      <c r="D181" s="8"/>
      <c r="E181" s="8"/>
      <c r="F181" s="8"/>
      <c r="G181" s="8"/>
      <c r="H181" s="8"/>
      <c r="I181" s="8"/>
      <c r="J181" s="15" t="e">
        <f t="shared" si="17"/>
        <v>#DIV/0!</v>
      </c>
      <c r="K181" s="8"/>
      <c r="L181" s="8"/>
      <c r="M181" s="15" t="e">
        <f t="shared" si="18"/>
        <v>#DIV/0!</v>
      </c>
      <c r="N181" s="8"/>
      <c r="O181" s="8"/>
      <c r="P181" s="15" t="e">
        <f t="shared" si="19"/>
        <v>#DIV/0!</v>
      </c>
      <c r="Q181" s="10"/>
      <c r="R181" s="359" t="e">
        <f t="shared" si="20"/>
        <v>#DIV/0!</v>
      </c>
      <c r="S181" s="360"/>
      <c r="T181" s="360"/>
      <c r="U181" s="377"/>
      <c r="V181" s="51" t="e">
        <f t="shared" si="21"/>
        <v>#DIV/0!</v>
      </c>
      <c r="W181" s="10"/>
      <c r="X181" s="10"/>
    </row>
    <row r="182" spans="1:24" ht="15.75" customHeight="1" x14ac:dyDescent="0.25">
      <c r="A182" s="38">
        <v>12</v>
      </c>
      <c r="B182" s="132" t="s">
        <v>908</v>
      </c>
      <c r="C182" s="45"/>
      <c r="D182" s="8"/>
      <c r="E182" s="8"/>
      <c r="F182" s="8"/>
      <c r="G182" s="8"/>
      <c r="H182" s="8"/>
      <c r="I182" s="8"/>
      <c r="J182" s="15" t="e">
        <f t="shared" si="17"/>
        <v>#DIV/0!</v>
      </c>
      <c r="K182" s="8"/>
      <c r="L182" s="8"/>
      <c r="M182" s="15" t="e">
        <f t="shared" si="18"/>
        <v>#DIV/0!</v>
      </c>
      <c r="N182" s="8"/>
      <c r="O182" s="8"/>
      <c r="P182" s="15" t="e">
        <f t="shared" si="19"/>
        <v>#DIV/0!</v>
      </c>
      <c r="Q182" s="10"/>
      <c r="R182" s="359" t="e">
        <f t="shared" si="20"/>
        <v>#DIV/0!</v>
      </c>
      <c r="S182" s="360"/>
      <c r="T182" s="360"/>
      <c r="U182" s="377"/>
      <c r="V182" s="51" t="e">
        <f t="shared" si="21"/>
        <v>#DIV/0!</v>
      </c>
      <c r="W182" s="10"/>
      <c r="X182" s="10"/>
    </row>
    <row r="183" spans="1:24" ht="15.75" customHeight="1" x14ac:dyDescent="0.25">
      <c r="A183" s="38">
        <v>13</v>
      </c>
      <c r="B183" s="124" t="s">
        <v>664</v>
      </c>
      <c r="C183" s="45"/>
      <c r="D183" s="8"/>
      <c r="E183" s="8"/>
      <c r="F183" s="8"/>
      <c r="G183" s="8"/>
      <c r="H183" s="8"/>
      <c r="I183" s="8"/>
      <c r="J183" s="15" t="e">
        <f t="shared" si="17"/>
        <v>#DIV/0!</v>
      </c>
      <c r="K183" s="8"/>
      <c r="L183" s="8"/>
      <c r="M183" s="15" t="e">
        <f t="shared" si="18"/>
        <v>#DIV/0!</v>
      </c>
      <c r="N183" s="8"/>
      <c r="O183" s="8"/>
      <c r="P183" s="15" t="e">
        <f t="shared" si="19"/>
        <v>#DIV/0!</v>
      </c>
      <c r="Q183" s="10"/>
      <c r="R183" s="359" t="e">
        <f t="shared" si="20"/>
        <v>#DIV/0!</v>
      </c>
      <c r="S183" s="360"/>
      <c r="T183" s="360"/>
      <c r="U183" s="377"/>
      <c r="V183" s="51" t="e">
        <f t="shared" si="21"/>
        <v>#DIV/0!</v>
      </c>
      <c r="W183" s="10"/>
      <c r="X183" s="10"/>
    </row>
    <row r="184" spans="1:24" ht="15.75" customHeight="1" x14ac:dyDescent="0.25">
      <c r="A184" s="38">
        <v>14</v>
      </c>
      <c r="B184" s="124" t="s">
        <v>665</v>
      </c>
      <c r="C184" s="45"/>
      <c r="D184" s="8"/>
      <c r="E184" s="8"/>
      <c r="F184" s="8"/>
      <c r="G184" s="8"/>
      <c r="H184" s="8"/>
      <c r="I184" s="8"/>
      <c r="J184" s="15" t="e">
        <f t="shared" si="17"/>
        <v>#DIV/0!</v>
      </c>
      <c r="K184" s="8"/>
      <c r="L184" s="8"/>
      <c r="M184" s="15" t="e">
        <f t="shared" si="18"/>
        <v>#DIV/0!</v>
      </c>
      <c r="N184" s="8"/>
      <c r="O184" s="8"/>
      <c r="P184" s="15" t="e">
        <f t="shared" si="19"/>
        <v>#DIV/0!</v>
      </c>
      <c r="Q184" s="10"/>
      <c r="R184" s="359" t="e">
        <f t="shared" si="20"/>
        <v>#DIV/0!</v>
      </c>
      <c r="S184" s="360"/>
      <c r="T184" s="360"/>
      <c r="U184" s="377"/>
      <c r="V184" s="51" t="e">
        <f t="shared" si="21"/>
        <v>#DIV/0!</v>
      </c>
      <c r="W184" s="10"/>
      <c r="X184" s="10"/>
    </row>
    <row r="185" spans="1:24" ht="15.75" customHeight="1" x14ac:dyDescent="0.25">
      <c r="A185" s="38">
        <v>15</v>
      </c>
      <c r="B185" s="124" t="s">
        <v>666</v>
      </c>
      <c r="C185" s="45"/>
      <c r="D185" s="8"/>
      <c r="E185" s="8"/>
      <c r="F185" s="8"/>
      <c r="G185" s="8"/>
      <c r="H185" s="8"/>
      <c r="I185" s="8"/>
      <c r="J185" s="15" t="e">
        <f t="shared" si="17"/>
        <v>#DIV/0!</v>
      </c>
      <c r="K185" s="8"/>
      <c r="L185" s="8"/>
      <c r="M185" s="15" t="e">
        <f t="shared" si="18"/>
        <v>#DIV/0!</v>
      </c>
      <c r="N185" s="8"/>
      <c r="O185" s="8"/>
      <c r="P185" s="15" t="e">
        <f t="shared" si="19"/>
        <v>#DIV/0!</v>
      </c>
      <c r="Q185" s="10"/>
      <c r="R185" s="359" t="e">
        <f t="shared" si="20"/>
        <v>#DIV/0!</v>
      </c>
      <c r="S185" s="360"/>
      <c r="T185" s="360"/>
      <c r="U185" s="377"/>
      <c r="V185" s="51" t="e">
        <f t="shared" si="21"/>
        <v>#DIV/0!</v>
      </c>
      <c r="W185" s="10"/>
      <c r="X185" s="10"/>
    </row>
    <row r="186" spans="1:24" ht="15.75" customHeight="1" x14ac:dyDescent="0.25">
      <c r="A186" s="38">
        <v>16</v>
      </c>
      <c r="B186" s="124" t="s">
        <v>667</v>
      </c>
      <c r="C186" s="45"/>
      <c r="D186" s="8"/>
      <c r="E186" s="8"/>
      <c r="F186" s="8"/>
      <c r="G186" s="8"/>
      <c r="H186" s="8"/>
      <c r="I186" s="8"/>
      <c r="J186" s="15" t="e">
        <f t="shared" si="17"/>
        <v>#DIV/0!</v>
      </c>
      <c r="K186" s="8"/>
      <c r="L186" s="8"/>
      <c r="M186" s="15" t="e">
        <f t="shared" si="18"/>
        <v>#DIV/0!</v>
      </c>
      <c r="N186" s="8"/>
      <c r="O186" s="8"/>
      <c r="P186" s="15" t="e">
        <f t="shared" si="19"/>
        <v>#DIV/0!</v>
      </c>
      <c r="Q186" s="10"/>
      <c r="R186" s="359" t="e">
        <f t="shared" si="20"/>
        <v>#DIV/0!</v>
      </c>
      <c r="S186" s="360"/>
      <c r="T186" s="360"/>
      <c r="U186" s="377"/>
      <c r="V186" s="51" t="e">
        <f t="shared" si="21"/>
        <v>#DIV/0!</v>
      </c>
      <c r="W186" s="10"/>
      <c r="X186" s="10"/>
    </row>
    <row r="187" spans="1:24" ht="15.75" customHeight="1" x14ac:dyDescent="0.25">
      <c r="A187" s="38">
        <v>17</v>
      </c>
      <c r="B187" s="124" t="s">
        <v>668</v>
      </c>
      <c r="C187" s="45"/>
      <c r="D187" s="8"/>
      <c r="E187" s="8"/>
      <c r="F187" s="8"/>
      <c r="G187" s="8"/>
      <c r="H187" s="8"/>
      <c r="I187" s="13"/>
      <c r="J187" s="15" t="e">
        <f t="shared" si="17"/>
        <v>#DIV/0!</v>
      </c>
      <c r="K187" s="8"/>
      <c r="L187" s="8"/>
      <c r="M187" s="15" t="e">
        <f t="shared" si="18"/>
        <v>#DIV/0!</v>
      </c>
      <c r="N187" s="8"/>
      <c r="O187" s="8"/>
      <c r="P187" s="15" t="e">
        <f t="shared" si="19"/>
        <v>#DIV/0!</v>
      </c>
      <c r="Q187" s="10"/>
      <c r="R187" s="359" t="e">
        <f t="shared" si="20"/>
        <v>#DIV/0!</v>
      </c>
      <c r="S187" s="360"/>
      <c r="T187" s="360"/>
      <c r="U187" s="377"/>
      <c r="V187" s="51" t="e">
        <f t="shared" si="21"/>
        <v>#DIV/0!</v>
      </c>
      <c r="W187" s="10"/>
      <c r="X187" s="10"/>
    </row>
    <row r="188" spans="1:24" ht="15.75" customHeight="1" x14ac:dyDescent="0.25">
      <c r="A188" s="38">
        <v>18</v>
      </c>
      <c r="B188" s="124" t="s">
        <v>669</v>
      </c>
      <c r="C188" s="45"/>
      <c r="D188" s="8"/>
      <c r="E188" s="8"/>
      <c r="F188" s="8"/>
      <c r="G188" s="8"/>
      <c r="H188" s="8"/>
      <c r="I188" s="8"/>
      <c r="J188" s="15" t="e">
        <f t="shared" si="17"/>
        <v>#DIV/0!</v>
      </c>
      <c r="K188" s="8"/>
      <c r="L188" s="8"/>
      <c r="M188" s="15" t="e">
        <f t="shared" si="18"/>
        <v>#DIV/0!</v>
      </c>
      <c r="N188" s="8"/>
      <c r="O188" s="8"/>
      <c r="P188" s="15" t="e">
        <f t="shared" si="19"/>
        <v>#DIV/0!</v>
      </c>
      <c r="Q188" s="10"/>
      <c r="R188" s="359" t="e">
        <f t="shared" si="20"/>
        <v>#DIV/0!</v>
      </c>
      <c r="S188" s="360"/>
      <c r="T188" s="360"/>
      <c r="U188" s="377"/>
      <c r="V188" s="51" t="e">
        <f t="shared" si="21"/>
        <v>#DIV/0!</v>
      </c>
      <c r="W188" s="10"/>
      <c r="X188" s="10"/>
    </row>
    <row r="189" spans="1:24" ht="15.75" customHeight="1" x14ac:dyDescent="0.25">
      <c r="A189" s="38">
        <v>19</v>
      </c>
      <c r="B189" s="124" t="s">
        <v>670</v>
      </c>
      <c r="C189" s="45"/>
      <c r="D189" s="8"/>
      <c r="E189" s="8"/>
      <c r="F189" s="8"/>
      <c r="G189" s="8"/>
      <c r="H189" s="8"/>
      <c r="I189" s="8"/>
      <c r="J189" s="15" t="e">
        <f t="shared" si="17"/>
        <v>#DIV/0!</v>
      </c>
      <c r="K189" s="8"/>
      <c r="L189" s="8"/>
      <c r="M189" s="15" t="e">
        <f t="shared" si="18"/>
        <v>#DIV/0!</v>
      </c>
      <c r="N189" s="8"/>
      <c r="O189" s="8"/>
      <c r="P189" s="15" t="e">
        <f t="shared" si="19"/>
        <v>#DIV/0!</v>
      </c>
      <c r="Q189" s="10"/>
      <c r="R189" s="359" t="e">
        <f t="shared" si="20"/>
        <v>#DIV/0!</v>
      </c>
      <c r="S189" s="360"/>
      <c r="T189" s="360"/>
      <c r="U189" s="377"/>
      <c r="V189" s="51" t="e">
        <f t="shared" si="21"/>
        <v>#DIV/0!</v>
      </c>
      <c r="W189" s="10"/>
      <c r="X189" s="10"/>
    </row>
    <row r="190" spans="1:24" ht="15.75" customHeight="1" x14ac:dyDescent="0.25">
      <c r="A190" s="38">
        <v>20</v>
      </c>
      <c r="B190" s="124" t="s">
        <v>671</v>
      </c>
      <c r="C190" s="45"/>
      <c r="D190" s="8"/>
      <c r="E190" s="8"/>
      <c r="F190" s="8"/>
      <c r="G190" s="8"/>
      <c r="H190" s="8"/>
      <c r="I190" s="8"/>
      <c r="J190" s="15" t="e">
        <f t="shared" si="17"/>
        <v>#DIV/0!</v>
      </c>
      <c r="K190" s="8"/>
      <c r="L190" s="8"/>
      <c r="M190" s="15" t="e">
        <f t="shared" si="18"/>
        <v>#DIV/0!</v>
      </c>
      <c r="N190" s="8"/>
      <c r="O190" s="8"/>
      <c r="P190" s="15" t="e">
        <f t="shared" si="19"/>
        <v>#DIV/0!</v>
      </c>
      <c r="Q190" s="10"/>
      <c r="R190" s="359" t="e">
        <f t="shared" si="20"/>
        <v>#DIV/0!</v>
      </c>
      <c r="S190" s="360"/>
      <c r="T190" s="360"/>
      <c r="U190" s="377"/>
      <c r="V190" s="51" t="e">
        <f t="shared" si="21"/>
        <v>#DIV/0!</v>
      </c>
      <c r="W190" s="10"/>
      <c r="X190" s="10"/>
    </row>
    <row r="191" spans="1:24" ht="15.75" customHeight="1" x14ac:dyDescent="0.25">
      <c r="A191" s="38">
        <v>21</v>
      </c>
      <c r="B191" s="124" t="s">
        <v>672</v>
      </c>
      <c r="C191" s="45"/>
      <c r="D191" s="8"/>
      <c r="E191" s="8"/>
      <c r="F191" s="8"/>
      <c r="G191" s="8"/>
      <c r="H191" s="8"/>
      <c r="I191" s="8"/>
      <c r="J191" s="15" t="e">
        <f t="shared" si="17"/>
        <v>#DIV/0!</v>
      </c>
      <c r="K191" s="8"/>
      <c r="L191" s="8"/>
      <c r="M191" s="15" t="e">
        <f t="shared" si="18"/>
        <v>#DIV/0!</v>
      </c>
      <c r="N191" s="8"/>
      <c r="O191" s="8"/>
      <c r="P191" s="15" t="e">
        <f t="shared" si="19"/>
        <v>#DIV/0!</v>
      </c>
      <c r="Q191" s="10"/>
      <c r="R191" s="359" t="e">
        <f t="shared" si="20"/>
        <v>#DIV/0!</v>
      </c>
      <c r="S191" s="360"/>
      <c r="T191" s="360"/>
      <c r="U191" s="377"/>
      <c r="V191" s="51" t="e">
        <f t="shared" si="21"/>
        <v>#DIV/0!</v>
      </c>
      <c r="W191" s="10"/>
      <c r="X191" s="10"/>
    </row>
    <row r="192" spans="1:24" ht="15.75" customHeight="1" x14ac:dyDescent="0.25">
      <c r="A192" s="38">
        <v>22</v>
      </c>
      <c r="B192" s="124" t="s">
        <v>673</v>
      </c>
      <c r="C192" s="45"/>
      <c r="D192" s="8"/>
      <c r="E192" s="8"/>
      <c r="F192" s="8"/>
      <c r="G192" s="8"/>
      <c r="H192" s="8"/>
      <c r="I192" s="8"/>
      <c r="J192" s="15" t="e">
        <f t="shared" si="17"/>
        <v>#DIV/0!</v>
      </c>
      <c r="K192" s="8"/>
      <c r="L192" s="8"/>
      <c r="M192" s="15" t="e">
        <f t="shared" si="18"/>
        <v>#DIV/0!</v>
      </c>
      <c r="N192" s="8"/>
      <c r="O192" s="8"/>
      <c r="P192" s="15" t="e">
        <f t="shared" si="19"/>
        <v>#DIV/0!</v>
      </c>
      <c r="Q192" s="10"/>
      <c r="R192" s="359" t="e">
        <f t="shared" si="20"/>
        <v>#DIV/0!</v>
      </c>
      <c r="S192" s="360"/>
      <c r="T192" s="360"/>
      <c r="U192" s="377"/>
      <c r="V192" s="51" t="e">
        <f t="shared" si="21"/>
        <v>#DIV/0!</v>
      </c>
      <c r="W192" s="10"/>
      <c r="X192" s="10"/>
    </row>
    <row r="193" spans="1:24" ht="15.75" customHeight="1" x14ac:dyDescent="0.25">
      <c r="A193" s="38">
        <v>23</v>
      </c>
      <c r="B193" s="124" t="s">
        <v>674</v>
      </c>
      <c r="C193" s="45"/>
      <c r="D193" s="8"/>
      <c r="E193" s="8"/>
      <c r="F193" s="8"/>
      <c r="G193" s="8"/>
      <c r="H193" s="8"/>
      <c r="I193" s="8"/>
      <c r="J193" s="15" t="e">
        <f t="shared" si="17"/>
        <v>#DIV/0!</v>
      </c>
      <c r="K193" s="8"/>
      <c r="L193" s="8"/>
      <c r="M193" s="15" t="e">
        <f t="shared" si="18"/>
        <v>#DIV/0!</v>
      </c>
      <c r="N193" s="8"/>
      <c r="O193" s="8"/>
      <c r="P193" s="15" t="e">
        <f t="shared" si="19"/>
        <v>#DIV/0!</v>
      </c>
      <c r="Q193" s="10"/>
      <c r="R193" s="359" t="e">
        <f t="shared" si="20"/>
        <v>#DIV/0!</v>
      </c>
      <c r="S193" s="360"/>
      <c r="T193" s="360"/>
      <c r="U193" s="377"/>
      <c r="V193" s="51" t="e">
        <f t="shared" si="21"/>
        <v>#DIV/0!</v>
      </c>
      <c r="W193" s="10"/>
      <c r="X193" s="10"/>
    </row>
    <row r="194" spans="1:24" ht="15.75" customHeight="1" x14ac:dyDescent="0.25">
      <c r="A194" s="38">
        <v>24</v>
      </c>
      <c r="B194" s="124" t="s">
        <v>675</v>
      </c>
      <c r="C194" s="45"/>
      <c r="D194" s="8"/>
      <c r="E194" s="8"/>
      <c r="F194" s="8"/>
      <c r="G194" s="8"/>
      <c r="H194" s="8"/>
      <c r="I194" s="8"/>
      <c r="J194" s="15" t="e">
        <f t="shared" si="17"/>
        <v>#DIV/0!</v>
      </c>
      <c r="K194" s="8"/>
      <c r="L194" s="8"/>
      <c r="M194" s="15" t="e">
        <f t="shared" si="18"/>
        <v>#DIV/0!</v>
      </c>
      <c r="N194" s="8"/>
      <c r="O194" s="8"/>
      <c r="P194" s="15" t="e">
        <f t="shared" si="19"/>
        <v>#DIV/0!</v>
      </c>
      <c r="Q194" s="10"/>
      <c r="R194" s="359" t="e">
        <f t="shared" si="20"/>
        <v>#DIV/0!</v>
      </c>
      <c r="S194" s="360"/>
      <c r="T194" s="360"/>
      <c r="U194" s="377"/>
      <c r="V194" s="51" t="e">
        <f t="shared" si="21"/>
        <v>#DIV/0!</v>
      </c>
      <c r="W194" s="10"/>
      <c r="X194" s="10"/>
    </row>
    <row r="195" spans="1:24" ht="15.75" customHeight="1" x14ac:dyDescent="0.25">
      <c r="A195" s="38">
        <v>25</v>
      </c>
      <c r="B195" s="124" t="s">
        <v>676</v>
      </c>
      <c r="C195" s="45"/>
      <c r="D195" s="8"/>
      <c r="E195" s="8"/>
      <c r="F195" s="8"/>
      <c r="G195" s="8"/>
      <c r="H195" s="8"/>
      <c r="I195" s="8"/>
      <c r="J195" s="15" t="e">
        <f t="shared" si="17"/>
        <v>#DIV/0!</v>
      </c>
      <c r="K195" s="8"/>
      <c r="L195" s="8"/>
      <c r="M195" s="15" t="e">
        <f t="shared" si="18"/>
        <v>#DIV/0!</v>
      </c>
      <c r="N195" s="8"/>
      <c r="O195" s="8"/>
      <c r="P195" s="15" t="e">
        <f t="shared" si="19"/>
        <v>#DIV/0!</v>
      </c>
      <c r="Q195" s="10"/>
      <c r="R195" s="359" t="e">
        <f t="shared" si="20"/>
        <v>#DIV/0!</v>
      </c>
      <c r="S195" s="360"/>
      <c r="T195" s="360"/>
      <c r="U195" s="377"/>
      <c r="V195" s="51" t="e">
        <f t="shared" si="21"/>
        <v>#DIV/0!</v>
      </c>
      <c r="W195" s="10"/>
      <c r="X195" s="10"/>
    </row>
    <row r="196" spans="1:24" ht="15.75" customHeight="1" x14ac:dyDescent="0.25">
      <c r="A196" s="38">
        <v>26</v>
      </c>
      <c r="B196" s="124" t="s">
        <v>677</v>
      </c>
      <c r="C196" s="45"/>
      <c r="D196" s="8"/>
      <c r="E196" s="8"/>
      <c r="F196" s="8"/>
      <c r="G196" s="8"/>
      <c r="H196" s="8"/>
      <c r="I196" s="8"/>
      <c r="J196" s="15" t="e">
        <f t="shared" si="17"/>
        <v>#DIV/0!</v>
      </c>
      <c r="K196" s="8"/>
      <c r="L196" s="8"/>
      <c r="M196" s="15" t="e">
        <f t="shared" si="18"/>
        <v>#DIV/0!</v>
      </c>
      <c r="N196" s="8"/>
      <c r="O196" s="8"/>
      <c r="P196" s="15" t="e">
        <f t="shared" si="19"/>
        <v>#DIV/0!</v>
      </c>
      <c r="Q196" s="10"/>
      <c r="R196" s="359" t="e">
        <f t="shared" si="20"/>
        <v>#DIV/0!</v>
      </c>
      <c r="S196" s="360"/>
      <c r="T196" s="360"/>
      <c r="U196" s="377"/>
      <c r="V196" s="51" t="e">
        <f t="shared" si="21"/>
        <v>#DIV/0!</v>
      </c>
      <c r="W196" s="10"/>
      <c r="X196" s="10"/>
    </row>
    <row r="197" spans="1:24" ht="15.75" customHeight="1" x14ac:dyDescent="0.25">
      <c r="A197" s="38">
        <v>27</v>
      </c>
      <c r="B197" s="124" t="s">
        <v>678</v>
      </c>
      <c r="C197" s="45"/>
      <c r="D197" s="8"/>
      <c r="E197" s="8"/>
      <c r="F197" s="8"/>
      <c r="G197" s="8"/>
      <c r="H197" s="8"/>
      <c r="I197" s="8"/>
      <c r="J197" s="15" t="e">
        <f t="shared" si="17"/>
        <v>#DIV/0!</v>
      </c>
      <c r="K197" s="8"/>
      <c r="L197" s="8"/>
      <c r="M197" s="15" t="e">
        <f t="shared" si="18"/>
        <v>#DIV/0!</v>
      </c>
      <c r="N197" s="8"/>
      <c r="O197" s="8"/>
      <c r="P197" s="15" t="e">
        <f t="shared" si="19"/>
        <v>#DIV/0!</v>
      </c>
      <c r="Q197" s="10"/>
      <c r="R197" s="359" t="e">
        <f t="shared" si="20"/>
        <v>#DIV/0!</v>
      </c>
      <c r="S197" s="360"/>
      <c r="T197" s="360"/>
      <c r="U197" s="377"/>
      <c r="V197" s="51" t="e">
        <f t="shared" si="21"/>
        <v>#DIV/0!</v>
      </c>
      <c r="W197" s="10"/>
      <c r="X197" s="10"/>
    </row>
    <row r="198" spans="1:24" ht="15.75" customHeight="1" x14ac:dyDescent="0.25">
      <c r="A198" s="38">
        <v>28</v>
      </c>
      <c r="B198" s="124" t="s">
        <v>679</v>
      </c>
      <c r="C198" s="45"/>
      <c r="D198" s="8"/>
      <c r="E198" s="8"/>
      <c r="F198" s="8"/>
      <c r="G198" s="8"/>
      <c r="H198" s="8"/>
      <c r="I198" s="8"/>
      <c r="J198" s="15" t="e">
        <f t="shared" si="17"/>
        <v>#DIV/0!</v>
      </c>
      <c r="K198" s="8"/>
      <c r="L198" s="8"/>
      <c r="M198" s="15" t="e">
        <f t="shared" si="18"/>
        <v>#DIV/0!</v>
      </c>
      <c r="N198" s="8"/>
      <c r="O198" s="8"/>
      <c r="P198" s="15" t="e">
        <f t="shared" si="19"/>
        <v>#DIV/0!</v>
      </c>
      <c r="Q198" s="10"/>
      <c r="R198" s="359" t="e">
        <f t="shared" si="20"/>
        <v>#DIV/0!</v>
      </c>
      <c r="S198" s="360"/>
      <c r="T198" s="360"/>
      <c r="U198" s="377"/>
      <c r="V198" s="51" t="e">
        <f t="shared" si="21"/>
        <v>#DIV/0!</v>
      </c>
      <c r="W198" s="10"/>
      <c r="X198" s="10"/>
    </row>
    <row r="199" spans="1:24" ht="15.75" customHeight="1" x14ac:dyDescent="0.25">
      <c r="A199" s="38">
        <v>29</v>
      </c>
      <c r="B199" s="124" t="s">
        <v>680</v>
      </c>
      <c r="C199" s="45"/>
      <c r="D199" s="8"/>
      <c r="E199" s="8"/>
      <c r="F199" s="8"/>
      <c r="G199" s="8"/>
      <c r="H199" s="8"/>
      <c r="I199" s="8"/>
      <c r="J199" s="15" t="e">
        <f t="shared" si="17"/>
        <v>#DIV/0!</v>
      </c>
      <c r="K199" s="8"/>
      <c r="L199" s="8"/>
      <c r="M199" s="15" t="e">
        <f t="shared" si="18"/>
        <v>#DIV/0!</v>
      </c>
      <c r="N199" s="8"/>
      <c r="O199" s="8"/>
      <c r="P199" s="15" t="e">
        <f t="shared" si="19"/>
        <v>#DIV/0!</v>
      </c>
      <c r="Q199" s="10"/>
      <c r="R199" s="359" t="e">
        <f t="shared" si="20"/>
        <v>#DIV/0!</v>
      </c>
      <c r="S199" s="360"/>
      <c r="T199" s="360"/>
      <c r="U199" s="377"/>
      <c r="V199" s="51" t="e">
        <f t="shared" si="21"/>
        <v>#DIV/0!</v>
      </c>
      <c r="W199" s="10"/>
      <c r="X199" s="10"/>
    </row>
    <row r="200" spans="1:24" ht="15.75" customHeight="1" x14ac:dyDescent="0.25">
      <c r="A200" s="38">
        <v>30</v>
      </c>
      <c r="B200" s="124" t="s">
        <v>681</v>
      </c>
      <c r="C200" s="45"/>
      <c r="D200" s="8"/>
      <c r="E200" s="8"/>
      <c r="F200" s="8"/>
      <c r="G200" s="8"/>
      <c r="H200" s="8"/>
      <c r="I200" s="8"/>
      <c r="J200" s="15" t="e">
        <f t="shared" si="17"/>
        <v>#DIV/0!</v>
      </c>
      <c r="K200" s="8"/>
      <c r="L200" s="8"/>
      <c r="M200" s="15" t="e">
        <f t="shared" si="18"/>
        <v>#DIV/0!</v>
      </c>
      <c r="N200" s="8"/>
      <c r="O200" s="8"/>
      <c r="P200" s="15" t="e">
        <f t="shared" si="19"/>
        <v>#DIV/0!</v>
      </c>
      <c r="Q200" s="10"/>
      <c r="R200" s="359" t="e">
        <f t="shared" si="20"/>
        <v>#DIV/0!</v>
      </c>
      <c r="S200" s="360"/>
      <c r="T200" s="360"/>
      <c r="U200" s="377"/>
      <c r="V200" s="51" t="e">
        <f t="shared" si="21"/>
        <v>#DIV/0!</v>
      </c>
      <c r="W200" s="10"/>
      <c r="X200" s="10"/>
    </row>
    <row r="201" spans="1:24" ht="15.75" customHeight="1" x14ac:dyDescent="0.25">
      <c r="A201" s="38">
        <v>31</v>
      </c>
      <c r="B201" s="124" t="s">
        <v>682</v>
      </c>
      <c r="C201" s="45"/>
      <c r="D201" s="8"/>
      <c r="E201" s="8"/>
      <c r="F201" s="8"/>
      <c r="G201" s="8"/>
      <c r="H201" s="8"/>
      <c r="I201" s="8"/>
      <c r="J201" s="15" t="e">
        <f t="shared" si="17"/>
        <v>#DIV/0!</v>
      </c>
      <c r="K201" s="8"/>
      <c r="L201" s="8"/>
      <c r="M201" s="15" t="e">
        <f t="shared" si="18"/>
        <v>#DIV/0!</v>
      </c>
      <c r="N201" s="8"/>
      <c r="O201" s="8"/>
      <c r="P201" s="15" t="e">
        <f t="shared" si="19"/>
        <v>#DIV/0!</v>
      </c>
      <c r="Q201" s="10"/>
      <c r="R201" s="359" t="e">
        <f t="shared" si="20"/>
        <v>#DIV/0!</v>
      </c>
      <c r="S201" s="360"/>
      <c r="T201" s="360"/>
      <c r="U201" s="377"/>
      <c r="V201" s="51" t="e">
        <f t="shared" si="21"/>
        <v>#DIV/0!</v>
      </c>
      <c r="W201" s="10"/>
      <c r="X201" s="10"/>
    </row>
    <row r="202" spans="1:24" ht="15.75" customHeight="1" x14ac:dyDescent="0.25">
      <c r="A202" s="38">
        <v>32</v>
      </c>
      <c r="B202" s="133" t="s">
        <v>61</v>
      </c>
      <c r="C202" s="45"/>
      <c r="D202" s="8"/>
      <c r="E202" s="8"/>
      <c r="F202" s="8"/>
      <c r="G202" s="8"/>
      <c r="H202" s="8"/>
      <c r="I202" s="8"/>
      <c r="J202" s="15" t="e">
        <f t="shared" si="17"/>
        <v>#DIV/0!</v>
      </c>
      <c r="K202" s="8"/>
      <c r="L202" s="8"/>
      <c r="M202" s="15" t="e">
        <f t="shared" si="18"/>
        <v>#DIV/0!</v>
      </c>
      <c r="N202" s="8"/>
      <c r="O202" s="8"/>
      <c r="P202" s="15" t="e">
        <f t="shared" si="19"/>
        <v>#DIV/0!</v>
      </c>
      <c r="Q202" s="10"/>
      <c r="R202" s="359" t="e">
        <f t="shared" si="20"/>
        <v>#DIV/0!</v>
      </c>
      <c r="S202" s="360"/>
      <c r="T202" s="360"/>
      <c r="U202" s="377"/>
      <c r="V202" s="51" t="e">
        <f t="shared" si="21"/>
        <v>#DIV/0!</v>
      </c>
      <c r="W202" s="10"/>
      <c r="X202" s="10"/>
    </row>
    <row r="203" spans="1:24" ht="15.75" customHeight="1" x14ac:dyDescent="0.25">
      <c r="A203" s="38">
        <v>33</v>
      </c>
      <c r="B203" s="133" t="s">
        <v>61</v>
      </c>
      <c r="C203" s="45"/>
      <c r="D203" s="8"/>
      <c r="E203" s="8"/>
      <c r="F203" s="8"/>
      <c r="G203" s="8"/>
      <c r="H203" s="8"/>
      <c r="I203" s="8"/>
      <c r="J203" s="15" t="e">
        <f t="shared" si="17"/>
        <v>#DIV/0!</v>
      </c>
      <c r="K203" s="8"/>
      <c r="L203" s="8"/>
      <c r="M203" s="15" t="e">
        <f t="shared" si="18"/>
        <v>#DIV/0!</v>
      </c>
      <c r="N203" s="8"/>
      <c r="O203" s="8"/>
      <c r="P203" s="15" t="e">
        <f t="shared" si="19"/>
        <v>#DIV/0!</v>
      </c>
      <c r="Q203" s="10"/>
      <c r="R203" s="359" t="e">
        <f t="shared" si="20"/>
        <v>#DIV/0!</v>
      </c>
      <c r="S203" s="360"/>
      <c r="T203" s="360"/>
      <c r="U203" s="377"/>
      <c r="V203" s="51" t="e">
        <f t="shared" si="21"/>
        <v>#DIV/0!</v>
      </c>
      <c r="W203" s="10"/>
      <c r="X203" s="10"/>
    </row>
    <row r="204" spans="1:24" ht="15.75" customHeight="1" x14ac:dyDescent="0.25">
      <c r="A204" s="38">
        <v>34</v>
      </c>
      <c r="B204" s="133" t="s">
        <v>61</v>
      </c>
      <c r="C204" s="45"/>
      <c r="D204" s="8"/>
      <c r="E204" s="8"/>
      <c r="F204" s="8"/>
      <c r="G204" s="8"/>
      <c r="H204" s="8"/>
      <c r="I204" s="8"/>
      <c r="J204" s="15" t="e">
        <f t="shared" si="17"/>
        <v>#DIV/0!</v>
      </c>
      <c r="K204" s="8"/>
      <c r="L204" s="8"/>
      <c r="M204" s="15" t="e">
        <f t="shared" si="18"/>
        <v>#DIV/0!</v>
      </c>
      <c r="N204" s="8"/>
      <c r="O204" s="8"/>
      <c r="P204" s="15" t="e">
        <f t="shared" si="19"/>
        <v>#DIV/0!</v>
      </c>
      <c r="Q204" s="10"/>
      <c r="R204" s="359" t="e">
        <f t="shared" si="20"/>
        <v>#DIV/0!</v>
      </c>
      <c r="S204" s="360"/>
      <c r="T204" s="360"/>
      <c r="U204" s="377"/>
      <c r="V204" s="51" t="e">
        <f t="shared" si="21"/>
        <v>#DIV/0!</v>
      </c>
      <c r="W204" s="10"/>
      <c r="X204" s="10"/>
    </row>
    <row r="205" spans="1:24" ht="15.75" customHeight="1" x14ac:dyDescent="0.25">
      <c r="A205" s="38">
        <v>35</v>
      </c>
      <c r="B205" s="133" t="s">
        <v>61</v>
      </c>
      <c r="C205" s="45"/>
      <c r="D205" s="8"/>
      <c r="E205" s="8"/>
      <c r="F205" s="8"/>
      <c r="G205" s="8"/>
      <c r="H205" s="8"/>
      <c r="I205" s="8"/>
      <c r="J205" s="15" t="e">
        <f t="shared" si="17"/>
        <v>#DIV/0!</v>
      </c>
      <c r="K205" s="8"/>
      <c r="L205" s="8"/>
      <c r="M205" s="15" t="e">
        <f t="shared" si="18"/>
        <v>#DIV/0!</v>
      </c>
      <c r="N205" s="8"/>
      <c r="O205" s="8"/>
      <c r="P205" s="15" t="e">
        <f t="shared" si="19"/>
        <v>#DIV/0!</v>
      </c>
      <c r="Q205" s="10"/>
      <c r="R205" s="359" t="e">
        <f t="shared" si="20"/>
        <v>#DIV/0!</v>
      </c>
      <c r="S205" s="360"/>
      <c r="T205" s="360"/>
      <c r="U205" s="377"/>
      <c r="V205" s="51" t="e">
        <f t="shared" si="21"/>
        <v>#DIV/0!</v>
      </c>
      <c r="W205" s="10"/>
      <c r="X205" s="10"/>
    </row>
    <row r="206" spans="1:24" ht="15.75" customHeight="1" x14ac:dyDescent="0.25">
      <c r="A206" s="38">
        <v>36</v>
      </c>
      <c r="B206" s="64" t="s">
        <v>61</v>
      </c>
      <c r="C206" s="45"/>
      <c r="D206" s="8"/>
      <c r="E206" s="8"/>
      <c r="F206" s="8"/>
      <c r="G206" s="8"/>
      <c r="H206" s="8"/>
      <c r="I206" s="8"/>
      <c r="J206" s="15" t="e">
        <f t="shared" si="17"/>
        <v>#DIV/0!</v>
      </c>
      <c r="K206" s="8"/>
      <c r="L206" s="8"/>
      <c r="M206" s="15" t="e">
        <f t="shared" si="18"/>
        <v>#DIV/0!</v>
      </c>
      <c r="N206" s="8"/>
      <c r="O206" s="8"/>
      <c r="P206" s="15" t="e">
        <f t="shared" si="19"/>
        <v>#DIV/0!</v>
      </c>
      <c r="Q206" s="10"/>
      <c r="R206" s="359" t="e">
        <f t="shared" si="20"/>
        <v>#DIV/0!</v>
      </c>
      <c r="S206" s="360"/>
      <c r="T206" s="360"/>
      <c r="U206" s="377"/>
      <c r="V206" s="51" t="e">
        <f t="shared" si="21"/>
        <v>#DIV/0!</v>
      </c>
      <c r="W206" s="10"/>
      <c r="X206" s="10"/>
    </row>
    <row r="207" spans="1:24" ht="15.75" customHeight="1" x14ac:dyDescent="0.25">
      <c r="A207" s="38">
        <v>37</v>
      </c>
      <c r="B207" s="64"/>
      <c r="C207" s="45"/>
      <c r="D207" s="8"/>
      <c r="E207" s="8"/>
      <c r="F207" s="8"/>
      <c r="G207" s="8"/>
      <c r="H207" s="8"/>
      <c r="I207" s="8"/>
      <c r="J207" s="15" t="e">
        <f t="shared" si="17"/>
        <v>#DIV/0!</v>
      </c>
      <c r="K207" s="8"/>
      <c r="L207" s="8"/>
      <c r="M207" s="15" t="e">
        <f t="shared" si="18"/>
        <v>#DIV/0!</v>
      </c>
      <c r="N207" s="8"/>
      <c r="O207" s="8"/>
      <c r="P207" s="15" t="e">
        <f t="shared" si="19"/>
        <v>#DIV/0!</v>
      </c>
      <c r="Q207" s="10"/>
      <c r="R207" s="359" t="e">
        <f t="shared" si="20"/>
        <v>#DIV/0!</v>
      </c>
      <c r="S207" s="360"/>
      <c r="T207" s="360"/>
      <c r="U207" s="377"/>
      <c r="V207" s="51" t="e">
        <f t="shared" si="21"/>
        <v>#DIV/0!</v>
      </c>
      <c r="W207" s="10"/>
      <c r="X207" s="10"/>
    </row>
    <row r="208" spans="1:24" ht="15.75" customHeight="1" x14ac:dyDescent="0.25">
      <c r="A208" s="38">
        <v>38</v>
      </c>
      <c r="B208" s="64"/>
      <c r="C208" s="45"/>
      <c r="D208" s="8"/>
      <c r="E208" s="8"/>
      <c r="F208" s="8"/>
      <c r="G208" s="8"/>
      <c r="H208" s="8"/>
      <c r="I208" s="8"/>
      <c r="J208" s="15" t="e">
        <f t="shared" si="17"/>
        <v>#DIV/0!</v>
      </c>
      <c r="K208" s="8"/>
      <c r="L208" s="8"/>
      <c r="M208" s="15" t="e">
        <f t="shared" si="18"/>
        <v>#DIV/0!</v>
      </c>
      <c r="N208" s="8"/>
      <c r="O208" s="8"/>
      <c r="P208" s="15" t="e">
        <f t="shared" si="19"/>
        <v>#DIV/0!</v>
      </c>
      <c r="Q208" s="10"/>
      <c r="R208" s="359" t="e">
        <f t="shared" si="20"/>
        <v>#DIV/0!</v>
      </c>
      <c r="S208" s="360"/>
      <c r="T208" s="360"/>
      <c r="U208" s="377"/>
      <c r="V208" s="51" t="e">
        <f t="shared" si="21"/>
        <v>#DIV/0!</v>
      </c>
      <c r="W208" s="10"/>
      <c r="X208" s="10"/>
    </row>
    <row r="209" spans="1:24" ht="15.75" customHeight="1" x14ac:dyDescent="0.25">
      <c r="A209" s="38">
        <v>39</v>
      </c>
      <c r="B209" s="65"/>
      <c r="C209" s="45"/>
      <c r="D209" s="8"/>
      <c r="E209" s="8"/>
      <c r="F209" s="8"/>
      <c r="G209" s="8"/>
      <c r="H209" s="8"/>
      <c r="I209" s="8"/>
      <c r="J209" s="15" t="e">
        <f t="shared" si="17"/>
        <v>#DIV/0!</v>
      </c>
      <c r="K209" s="8"/>
      <c r="L209" s="8"/>
      <c r="M209" s="15" t="e">
        <f t="shared" si="18"/>
        <v>#DIV/0!</v>
      </c>
      <c r="N209" s="8"/>
      <c r="O209" s="8"/>
      <c r="P209" s="15" t="e">
        <f t="shared" si="19"/>
        <v>#DIV/0!</v>
      </c>
      <c r="Q209" s="10"/>
      <c r="R209" s="359" t="e">
        <f t="shared" si="20"/>
        <v>#DIV/0!</v>
      </c>
      <c r="S209" s="360"/>
      <c r="T209" s="360"/>
      <c r="U209" s="377"/>
      <c r="V209" s="51" t="e">
        <f t="shared" si="21"/>
        <v>#DIV/0!</v>
      </c>
      <c r="W209" s="10"/>
      <c r="X209" s="10"/>
    </row>
    <row r="210" spans="1:24" ht="15.75" customHeight="1" x14ac:dyDescent="0.25">
      <c r="A210" s="38">
        <v>40</v>
      </c>
      <c r="B210" s="81"/>
      <c r="C210" s="45"/>
      <c r="D210" s="8"/>
      <c r="E210" s="8"/>
      <c r="F210" s="8"/>
      <c r="G210" s="8"/>
      <c r="H210" s="8"/>
      <c r="I210" s="8"/>
      <c r="J210" s="15" t="e">
        <f t="shared" si="17"/>
        <v>#DIV/0!</v>
      </c>
      <c r="K210" s="8"/>
      <c r="L210" s="8"/>
      <c r="M210" s="15" t="e">
        <f t="shared" si="18"/>
        <v>#DIV/0!</v>
      </c>
      <c r="N210" s="8"/>
      <c r="O210" s="8"/>
      <c r="P210" s="15" t="e">
        <f t="shared" si="19"/>
        <v>#DIV/0!</v>
      </c>
      <c r="Q210" s="10"/>
      <c r="R210" s="359" t="e">
        <f t="shared" si="20"/>
        <v>#DIV/0!</v>
      </c>
      <c r="S210" s="360"/>
      <c r="T210" s="360"/>
      <c r="U210" s="377"/>
      <c r="V210" s="51" t="e">
        <f t="shared" si="21"/>
        <v>#DIV/0!</v>
      </c>
      <c r="W210" s="10"/>
      <c r="X210" s="10"/>
    </row>
    <row r="211" spans="1:24" ht="15.75" customHeight="1" x14ac:dyDescent="0.25">
      <c r="A211" s="38">
        <v>41</v>
      </c>
      <c r="B211" s="74"/>
      <c r="C211" s="45"/>
      <c r="D211" s="8"/>
      <c r="E211" s="8"/>
      <c r="F211" s="8"/>
      <c r="G211" s="8"/>
      <c r="H211" s="8"/>
      <c r="I211" s="8"/>
      <c r="J211" s="15" t="e">
        <f t="shared" si="17"/>
        <v>#DIV/0!</v>
      </c>
      <c r="K211" s="8"/>
      <c r="L211" s="8"/>
      <c r="M211" s="15" t="e">
        <f t="shared" si="18"/>
        <v>#DIV/0!</v>
      </c>
      <c r="N211" s="8"/>
      <c r="O211" s="8"/>
      <c r="P211" s="15" t="e">
        <f t="shared" si="19"/>
        <v>#DIV/0!</v>
      </c>
      <c r="Q211" s="10"/>
      <c r="R211" s="359" t="e">
        <f t="shared" si="20"/>
        <v>#DIV/0!</v>
      </c>
      <c r="S211" s="360"/>
      <c r="T211" s="360"/>
      <c r="U211" s="377"/>
      <c r="V211" s="51" t="e">
        <f t="shared" si="21"/>
        <v>#DIV/0!</v>
      </c>
      <c r="W211" s="10"/>
      <c r="X211" s="10"/>
    </row>
    <row r="212" spans="1:24" ht="15.75" customHeight="1" x14ac:dyDescent="0.25">
      <c r="A212" s="38">
        <v>42</v>
      </c>
      <c r="B212" s="40"/>
      <c r="C212" s="45"/>
      <c r="D212" s="8"/>
      <c r="E212" s="8"/>
      <c r="F212" s="8"/>
      <c r="G212" s="8"/>
      <c r="H212" s="8"/>
      <c r="I212" s="8"/>
      <c r="J212" s="15" t="e">
        <f t="shared" si="17"/>
        <v>#DIV/0!</v>
      </c>
      <c r="K212" s="8"/>
      <c r="L212" s="8"/>
      <c r="M212" s="15" t="e">
        <f t="shared" si="18"/>
        <v>#DIV/0!</v>
      </c>
      <c r="N212" s="8"/>
      <c r="O212" s="8"/>
      <c r="P212" s="15" t="e">
        <f t="shared" si="19"/>
        <v>#DIV/0!</v>
      </c>
      <c r="Q212" s="10"/>
      <c r="R212" s="359" t="e">
        <f t="shared" si="20"/>
        <v>#DIV/0!</v>
      </c>
      <c r="S212" s="360"/>
      <c r="T212" s="360"/>
      <c r="U212" s="377"/>
      <c r="V212" s="51" t="e">
        <f t="shared" si="21"/>
        <v>#DIV/0!</v>
      </c>
      <c r="W212" s="10"/>
      <c r="X212" s="10"/>
    </row>
    <row r="213" spans="1:24" ht="15.75" customHeight="1" x14ac:dyDescent="0.25">
      <c r="A213" s="38">
        <v>43</v>
      </c>
      <c r="B213" s="40"/>
      <c r="C213" s="45"/>
      <c r="D213" s="8"/>
      <c r="E213" s="8"/>
      <c r="F213" s="8"/>
      <c r="G213" s="8"/>
      <c r="H213" s="8"/>
      <c r="I213" s="8"/>
      <c r="J213" s="15" t="e">
        <f t="shared" si="17"/>
        <v>#DIV/0!</v>
      </c>
      <c r="K213" s="8"/>
      <c r="L213" s="8"/>
      <c r="M213" s="15" t="e">
        <f t="shared" si="18"/>
        <v>#DIV/0!</v>
      </c>
      <c r="N213" s="8"/>
      <c r="O213" s="8"/>
      <c r="P213" s="15" t="e">
        <f t="shared" si="19"/>
        <v>#DIV/0!</v>
      </c>
      <c r="Q213" s="10"/>
      <c r="R213" s="359" t="e">
        <f t="shared" si="20"/>
        <v>#DIV/0!</v>
      </c>
      <c r="S213" s="360"/>
      <c r="T213" s="360"/>
      <c r="U213" s="377"/>
      <c r="V213" s="51" t="e">
        <f t="shared" si="21"/>
        <v>#DIV/0!</v>
      </c>
      <c r="W213" s="10"/>
      <c r="X213" s="10"/>
    </row>
    <row r="214" spans="1:24" ht="15.75" customHeight="1" x14ac:dyDescent="0.25">
      <c r="A214" s="38">
        <v>44</v>
      </c>
      <c r="B214" s="40"/>
      <c r="C214" s="45"/>
      <c r="D214" s="8"/>
      <c r="E214" s="8"/>
      <c r="F214" s="8"/>
      <c r="G214" s="8"/>
      <c r="H214" s="8"/>
      <c r="I214" s="8"/>
      <c r="J214" s="15" t="e">
        <f t="shared" si="17"/>
        <v>#DIV/0!</v>
      </c>
      <c r="K214" s="8"/>
      <c r="L214" s="8"/>
      <c r="M214" s="15" t="e">
        <f t="shared" si="18"/>
        <v>#DIV/0!</v>
      </c>
      <c r="N214" s="8"/>
      <c r="O214" s="8"/>
      <c r="P214" s="15" t="e">
        <f t="shared" si="19"/>
        <v>#DIV/0!</v>
      </c>
      <c r="Q214" s="10"/>
      <c r="R214" s="359" t="e">
        <f t="shared" si="20"/>
        <v>#DIV/0!</v>
      </c>
      <c r="S214" s="360"/>
      <c r="T214" s="360"/>
      <c r="U214" s="377"/>
      <c r="V214" s="51" t="e">
        <f t="shared" si="21"/>
        <v>#DIV/0!</v>
      </c>
      <c r="W214" s="10"/>
      <c r="X214" s="10"/>
    </row>
    <row r="215" spans="1:24" ht="15.75" customHeight="1" x14ac:dyDescent="0.25">
      <c r="A215" s="38">
        <v>45</v>
      </c>
      <c r="B215" s="40"/>
      <c r="C215" s="45"/>
      <c r="D215" s="8"/>
      <c r="E215" s="8"/>
      <c r="F215" s="8"/>
      <c r="G215" s="8"/>
      <c r="H215" s="8"/>
      <c r="I215" s="8"/>
      <c r="J215" s="15" t="e">
        <f t="shared" si="17"/>
        <v>#DIV/0!</v>
      </c>
      <c r="K215" s="8"/>
      <c r="L215" s="8"/>
      <c r="M215" s="15" t="e">
        <f t="shared" si="18"/>
        <v>#DIV/0!</v>
      </c>
      <c r="N215" s="8"/>
      <c r="O215" s="8"/>
      <c r="P215" s="15" t="e">
        <f t="shared" si="19"/>
        <v>#DIV/0!</v>
      </c>
      <c r="Q215" s="10"/>
      <c r="R215" s="359" t="e">
        <f t="shared" si="20"/>
        <v>#DIV/0!</v>
      </c>
      <c r="S215" s="360"/>
      <c r="T215" s="360"/>
      <c r="U215" s="377"/>
      <c r="V215" s="51" t="e">
        <f t="shared" si="21"/>
        <v>#DIV/0!</v>
      </c>
      <c r="W215" s="10"/>
      <c r="X215" s="10"/>
    </row>
    <row r="216" spans="1:24" ht="15.75" customHeight="1" thickBot="1" x14ac:dyDescent="0.3">
      <c r="A216" s="39">
        <v>46</v>
      </c>
      <c r="B216" s="41"/>
      <c r="C216" s="46"/>
      <c r="D216" s="47"/>
      <c r="E216" s="47"/>
      <c r="F216" s="47"/>
      <c r="G216" s="47"/>
      <c r="H216" s="47"/>
      <c r="I216" s="47"/>
      <c r="J216" s="48" t="e">
        <f t="shared" si="17"/>
        <v>#DIV/0!</v>
      </c>
      <c r="K216" s="47"/>
      <c r="L216" s="47"/>
      <c r="M216" s="48" t="e">
        <f t="shared" si="18"/>
        <v>#DIV/0!</v>
      </c>
      <c r="N216" s="47"/>
      <c r="O216" s="47"/>
      <c r="P216" s="48" t="e">
        <f t="shared" si="19"/>
        <v>#DIV/0!</v>
      </c>
      <c r="Q216" s="49"/>
      <c r="R216" s="370" t="e">
        <f t="shared" si="20"/>
        <v>#DIV/0!</v>
      </c>
      <c r="S216" s="371"/>
      <c r="T216" s="371"/>
      <c r="U216" s="385"/>
      <c r="V216" s="52" t="e">
        <f t="shared" si="21"/>
        <v>#DIV/0!</v>
      </c>
      <c r="W216" s="10"/>
      <c r="X216" s="10"/>
    </row>
    <row r="217" spans="1:24" ht="15.75" customHeight="1" x14ac:dyDescent="0.25">
      <c r="A217" s="263"/>
      <c r="B217" s="375"/>
      <c r="C217" s="257"/>
      <c r="D217" s="257"/>
      <c r="E217" s="267"/>
      <c r="F217" s="270"/>
      <c r="G217" s="270"/>
      <c r="H217" s="270"/>
      <c r="I217" s="270"/>
      <c r="J217" s="272"/>
      <c r="K217" s="272"/>
      <c r="L217" s="257"/>
      <c r="M217" s="259"/>
      <c r="N217" s="259"/>
      <c r="O217" s="259"/>
      <c r="P217" s="259"/>
      <c r="Q217" s="261"/>
      <c r="R217" s="277"/>
      <c r="S217" s="278"/>
      <c r="T217" s="279"/>
      <c r="U217" s="283"/>
      <c r="V217" s="284"/>
      <c r="W217" s="255"/>
      <c r="X217" s="181"/>
    </row>
    <row r="218" spans="1:24" ht="15.75" customHeight="1" x14ac:dyDescent="0.25">
      <c r="A218" s="264"/>
      <c r="B218" s="374"/>
      <c r="C218" s="205"/>
      <c r="D218" s="205"/>
      <c r="E218" s="210"/>
      <c r="F218" s="211"/>
      <c r="G218" s="211"/>
      <c r="H218" s="211"/>
      <c r="I218" s="211"/>
      <c r="J218" s="204"/>
      <c r="K218" s="204"/>
      <c r="L218" s="205"/>
      <c r="M218" s="185"/>
      <c r="N218" s="185"/>
      <c r="O218" s="185"/>
      <c r="P218" s="185"/>
      <c r="Q218" s="187"/>
      <c r="R218" s="188"/>
      <c r="S218" s="189"/>
      <c r="T218" s="190"/>
      <c r="U218" s="194"/>
      <c r="V218" s="285"/>
      <c r="W218" s="255"/>
      <c r="X218" s="181"/>
    </row>
    <row r="219" spans="1:24" ht="15.75" customHeight="1" x14ac:dyDescent="0.25">
      <c r="A219" s="264"/>
      <c r="B219" s="183"/>
      <c r="C219" s="205"/>
      <c r="D219" s="205"/>
      <c r="E219" s="210"/>
      <c r="F219" s="211"/>
      <c r="G219" s="211"/>
      <c r="H219" s="211"/>
      <c r="I219" s="211"/>
      <c r="J219" s="204"/>
      <c r="K219" s="204"/>
      <c r="L219" s="205"/>
      <c r="M219" s="185"/>
      <c r="N219" s="185"/>
      <c r="O219" s="185"/>
      <c r="P219" s="185"/>
      <c r="Q219" s="187"/>
      <c r="R219" s="188"/>
      <c r="S219" s="189"/>
      <c r="T219" s="190"/>
      <c r="U219" s="194"/>
      <c r="V219" s="285"/>
      <c r="W219" s="255"/>
      <c r="X219" s="181"/>
    </row>
    <row r="220" spans="1:24" ht="15.75" customHeight="1" thickBot="1" x14ac:dyDescent="0.3">
      <c r="A220" s="265"/>
      <c r="B220" s="269"/>
      <c r="C220" s="258"/>
      <c r="D220" s="258"/>
      <c r="E220" s="268"/>
      <c r="F220" s="271"/>
      <c r="G220" s="271"/>
      <c r="H220" s="271"/>
      <c r="I220" s="271"/>
      <c r="J220" s="273"/>
      <c r="K220" s="273"/>
      <c r="L220" s="258"/>
      <c r="M220" s="260"/>
      <c r="N220" s="260"/>
      <c r="O220" s="260"/>
      <c r="P220" s="260"/>
      <c r="Q220" s="262"/>
      <c r="R220" s="280"/>
      <c r="S220" s="281"/>
      <c r="T220" s="282"/>
      <c r="U220" s="286"/>
      <c r="V220" s="287"/>
      <c r="W220" s="256"/>
      <c r="X220" s="182"/>
    </row>
    <row r="221" spans="1:24" ht="15.75" customHeight="1" thickBot="1" x14ac:dyDescent="0.3"/>
    <row r="222" spans="1:24" ht="87.75" customHeight="1" thickBot="1" x14ac:dyDescent="0.3">
      <c r="A222" s="290"/>
      <c r="B222" s="291"/>
      <c r="C222" s="291"/>
      <c r="D222" s="291"/>
      <c r="E222" s="291"/>
      <c r="F222" s="291"/>
      <c r="G222" s="291"/>
      <c r="H222" s="291"/>
      <c r="I222" s="291"/>
      <c r="J222" s="291"/>
      <c r="K222" s="291"/>
      <c r="L222" s="291"/>
      <c r="M222" s="291"/>
      <c r="N222" s="291"/>
      <c r="O222" s="291"/>
      <c r="P222" s="292"/>
      <c r="Q222" s="310"/>
      <c r="R222" s="228"/>
      <c r="S222" s="228"/>
      <c r="T222" s="228"/>
      <c r="U222" s="228"/>
      <c r="V222" s="228"/>
      <c r="W222" s="228"/>
      <c r="X222" s="229"/>
    </row>
    <row r="223" spans="1:24" ht="15.75" customHeight="1" thickBot="1" x14ac:dyDescent="0.3">
      <c r="A223" s="218" t="s">
        <v>281</v>
      </c>
      <c r="B223" s="219"/>
      <c r="C223" s="220" t="s">
        <v>931</v>
      </c>
      <c r="D223" s="221"/>
      <c r="E223" s="221"/>
      <c r="F223" s="221"/>
      <c r="G223" s="221"/>
      <c r="H223" s="221"/>
      <c r="I223" s="222"/>
      <c r="J223" s="223" t="s">
        <v>20</v>
      </c>
      <c r="K223" s="224"/>
      <c r="L223" s="224"/>
      <c r="M223" s="224"/>
      <c r="N223" s="225"/>
      <c r="O223" s="225"/>
      <c r="P223" s="225"/>
      <c r="Q223" s="226"/>
      <c r="R223" s="227" t="s">
        <v>153</v>
      </c>
      <c r="S223" s="228"/>
      <c r="T223" s="228"/>
      <c r="U223" s="228"/>
      <c r="V223" s="228"/>
      <c r="W223" s="228"/>
      <c r="X223" s="229"/>
    </row>
    <row r="224" spans="1:24" ht="15.75" customHeight="1" x14ac:dyDescent="0.25">
      <c r="A224" s="230" t="s">
        <v>0</v>
      </c>
      <c r="B224" s="233" t="s">
        <v>1</v>
      </c>
      <c r="C224" s="235" t="s">
        <v>12</v>
      </c>
      <c r="D224" s="235"/>
      <c r="E224" s="235"/>
      <c r="F224" s="235"/>
      <c r="G224" s="235"/>
      <c r="H224" s="235"/>
      <c r="I224" s="235"/>
      <c r="J224" s="235"/>
      <c r="K224" s="236" t="s">
        <v>13</v>
      </c>
      <c r="L224" s="237"/>
      <c r="M224" s="237"/>
      <c r="N224" s="240" t="s">
        <v>15</v>
      </c>
      <c r="O224" s="240"/>
      <c r="P224" s="240"/>
      <c r="Q224" s="241" t="s">
        <v>4</v>
      </c>
      <c r="R224" s="244" t="s">
        <v>11</v>
      </c>
      <c r="S224" s="244"/>
      <c r="T224" s="244"/>
      <c r="U224" s="244"/>
      <c r="V224" s="244"/>
      <c r="W224" s="246" t="s">
        <v>2</v>
      </c>
      <c r="X224" s="247"/>
    </row>
    <row r="225" spans="1:24" ht="15.75" customHeight="1" x14ac:dyDescent="0.25">
      <c r="A225" s="231"/>
      <c r="B225" s="181"/>
      <c r="C225" s="248" t="s">
        <v>6</v>
      </c>
      <c r="D225" s="248" t="s">
        <v>17</v>
      </c>
      <c r="E225" s="248" t="s">
        <v>5</v>
      </c>
      <c r="F225" s="250"/>
      <c r="G225" s="250"/>
      <c r="H225" s="250"/>
      <c r="I225" s="251" t="s">
        <v>16</v>
      </c>
      <c r="J225" s="350" t="s">
        <v>14</v>
      </c>
      <c r="K225" s="238"/>
      <c r="L225" s="239"/>
      <c r="M225" s="239"/>
      <c r="N225" s="240"/>
      <c r="O225" s="240"/>
      <c r="P225" s="240"/>
      <c r="Q225" s="242"/>
      <c r="R225" s="245"/>
      <c r="S225" s="245"/>
      <c r="T225" s="245"/>
      <c r="U225" s="245"/>
      <c r="V225" s="245"/>
      <c r="W225" s="187"/>
      <c r="X225" s="187"/>
    </row>
    <row r="226" spans="1:24" ht="54" customHeight="1" thickBot="1" x14ac:dyDescent="0.3">
      <c r="A226" s="232"/>
      <c r="B226" s="181"/>
      <c r="C226" s="248"/>
      <c r="D226" s="248"/>
      <c r="E226" s="248"/>
      <c r="F226" s="248"/>
      <c r="G226" s="248"/>
      <c r="H226" s="248"/>
      <c r="I226" s="328"/>
      <c r="J226" s="351"/>
      <c r="K226" s="27" t="s">
        <v>9</v>
      </c>
      <c r="L226" s="27" t="s">
        <v>10</v>
      </c>
      <c r="M226" s="43" t="s">
        <v>3</v>
      </c>
      <c r="N226" s="27" t="s">
        <v>9</v>
      </c>
      <c r="O226" s="27" t="s">
        <v>10</v>
      </c>
      <c r="P226" s="25" t="s">
        <v>3</v>
      </c>
      <c r="Q226" s="321"/>
      <c r="R226" s="322" t="s">
        <v>7</v>
      </c>
      <c r="S226" s="323"/>
      <c r="T226" s="323"/>
      <c r="U226" s="324"/>
      <c r="V226" s="12" t="s">
        <v>8</v>
      </c>
      <c r="W226" s="5">
        <v>1</v>
      </c>
      <c r="X226" s="5">
        <v>2</v>
      </c>
    </row>
    <row r="227" spans="1:24" ht="15.75" customHeight="1" x14ac:dyDescent="0.25">
      <c r="A227" s="38">
        <v>1</v>
      </c>
      <c r="B227" s="179" t="s">
        <v>905</v>
      </c>
      <c r="C227" s="44"/>
      <c r="D227" s="30"/>
      <c r="E227" s="30"/>
      <c r="F227" s="30"/>
      <c r="G227" s="30"/>
      <c r="H227" s="30"/>
      <c r="I227" s="30"/>
      <c r="J227" s="31" t="e">
        <f>((AVERAGE(C227:H227))*72%)+I227*8%</f>
        <v>#DIV/0!</v>
      </c>
      <c r="K227" s="30"/>
      <c r="L227" s="30"/>
      <c r="M227" s="31" t="e">
        <f>(AVERAGE(K227:L227))*10%</f>
        <v>#DIV/0!</v>
      </c>
      <c r="N227" s="30"/>
      <c r="O227" s="30"/>
      <c r="P227" s="31" t="e">
        <f>(AVERAGE(N227:O227))*10%</f>
        <v>#DIV/0!</v>
      </c>
      <c r="Q227" s="30"/>
      <c r="R227" s="367" t="e">
        <f>IF(V227&lt;65,"BAJO",IF(V227&lt;=79,"BASICO",IF(V227&lt;=89,"ALTO",IF(V227&lt;=100,"SUPERIOR"))))</f>
        <v>#DIV/0!</v>
      </c>
      <c r="S227" s="368"/>
      <c r="T227" s="368"/>
      <c r="U227" s="376"/>
      <c r="V227" s="51" t="e">
        <f>J227+M227+P227</f>
        <v>#DIV/0!</v>
      </c>
      <c r="W227" s="10"/>
      <c r="X227" s="10"/>
    </row>
    <row r="228" spans="1:24" ht="15.75" customHeight="1" x14ac:dyDescent="0.25">
      <c r="A228" s="38">
        <v>2</v>
      </c>
      <c r="B228" s="124" t="s">
        <v>339</v>
      </c>
      <c r="C228" s="45"/>
      <c r="D228" s="8"/>
      <c r="E228" s="8"/>
      <c r="F228" s="8"/>
      <c r="G228" s="8"/>
      <c r="H228" s="8"/>
      <c r="I228" s="9"/>
      <c r="J228" s="15" t="e">
        <f t="shared" ref="J228:J272" si="22">((AVERAGE(C228:H228))*72%)+I228*8%</f>
        <v>#DIV/0!</v>
      </c>
      <c r="K228" s="8"/>
      <c r="L228" s="8"/>
      <c r="M228" s="15" t="e">
        <f t="shared" ref="M228:M272" si="23">(AVERAGE(K228:L228))*10%</f>
        <v>#DIV/0!</v>
      </c>
      <c r="N228" s="8"/>
      <c r="O228" s="8"/>
      <c r="P228" s="15" t="e">
        <f t="shared" ref="P228:P272" si="24">(AVERAGE(N228:O228))*10%</f>
        <v>#DIV/0!</v>
      </c>
      <c r="Q228" s="11"/>
      <c r="R228" s="359" t="e">
        <f t="shared" ref="R228:R272" si="25">IF(V228&lt;65,"BAJO",IF(V228&lt;=79,"BASICO",IF(V228&lt;=89,"ALTO",IF(V228&lt;=100,"SUPERIOR"))))</f>
        <v>#DIV/0!</v>
      </c>
      <c r="S228" s="360"/>
      <c r="T228" s="360"/>
      <c r="U228" s="377"/>
      <c r="V228" s="51" t="e">
        <f t="shared" ref="V228:V272" si="26">J228+M228+P228</f>
        <v>#DIV/0!</v>
      </c>
      <c r="W228" s="10"/>
      <c r="X228" s="10"/>
    </row>
    <row r="229" spans="1:24" ht="15.75" customHeight="1" x14ac:dyDescent="0.25">
      <c r="A229" s="38">
        <v>3</v>
      </c>
      <c r="B229" s="67" t="s">
        <v>704</v>
      </c>
      <c r="C229" s="45"/>
      <c r="D229" s="8"/>
      <c r="E229" s="8"/>
      <c r="F229" s="8"/>
      <c r="G229" s="8"/>
      <c r="H229" s="8"/>
      <c r="I229" s="9"/>
      <c r="J229" s="15" t="e">
        <f t="shared" si="22"/>
        <v>#DIV/0!</v>
      </c>
      <c r="K229" s="8"/>
      <c r="L229" s="8"/>
      <c r="M229" s="15" t="e">
        <f t="shared" si="23"/>
        <v>#DIV/0!</v>
      </c>
      <c r="N229" s="8"/>
      <c r="O229" s="8"/>
      <c r="P229" s="15" t="e">
        <f t="shared" si="24"/>
        <v>#DIV/0!</v>
      </c>
      <c r="Q229" s="11"/>
      <c r="R229" s="359" t="e">
        <f t="shared" si="25"/>
        <v>#DIV/0!</v>
      </c>
      <c r="S229" s="360"/>
      <c r="T229" s="360"/>
      <c r="U229" s="377"/>
      <c r="V229" s="51" t="e">
        <f t="shared" si="26"/>
        <v>#DIV/0!</v>
      </c>
      <c r="W229" s="10"/>
      <c r="X229" s="10"/>
    </row>
    <row r="230" spans="1:24" ht="15.75" customHeight="1" x14ac:dyDescent="0.25">
      <c r="A230" s="38">
        <v>4</v>
      </c>
      <c r="B230" s="124" t="s">
        <v>683</v>
      </c>
      <c r="C230" s="45"/>
      <c r="D230" s="8"/>
      <c r="E230" s="8"/>
      <c r="F230" s="8"/>
      <c r="G230" s="8"/>
      <c r="H230" s="8"/>
      <c r="I230" s="8"/>
      <c r="J230" s="15" t="e">
        <f t="shared" si="22"/>
        <v>#DIV/0!</v>
      </c>
      <c r="K230" s="8"/>
      <c r="L230" s="8"/>
      <c r="M230" s="15" t="e">
        <f t="shared" si="23"/>
        <v>#DIV/0!</v>
      </c>
      <c r="N230" s="8"/>
      <c r="O230" s="8"/>
      <c r="P230" s="15" t="e">
        <f t="shared" si="24"/>
        <v>#DIV/0!</v>
      </c>
      <c r="Q230" s="11"/>
      <c r="R230" s="359" t="e">
        <f t="shared" si="25"/>
        <v>#DIV/0!</v>
      </c>
      <c r="S230" s="360"/>
      <c r="T230" s="360"/>
      <c r="U230" s="377"/>
      <c r="V230" s="51" t="e">
        <f t="shared" si="26"/>
        <v>#DIV/0!</v>
      </c>
      <c r="W230" s="10"/>
      <c r="X230" s="10"/>
    </row>
    <row r="231" spans="1:24" ht="15.75" customHeight="1" x14ac:dyDescent="0.25">
      <c r="A231" s="38">
        <v>5</v>
      </c>
      <c r="B231" s="124" t="s">
        <v>684</v>
      </c>
      <c r="C231" s="45"/>
      <c r="D231" s="8"/>
      <c r="E231" s="8"/>
      <c r="F231" s="8"/>
      <c r="G231" s="8"/>
      <c r="H231" s="8"/>
      <c r="I231" s="8"/>
      <c r="J231" s="15" t="e">
        <f t="shared" si="22"/>
        <v>#DIV/0!</v>
      </c>
      <c r="K231" s="8"/>
      <c r="L231" s="8"/>
      <c r="M231" s="15" t="e">
        <f t="shared" si="23"/>
        <v>#DIV/0!</v>
      </c>
      <c r="N231" s="8"/>
      <c r="O231" s="8"/>
      <c r="P231" s="15" t="e">
        <f t="shared" si="24"/>
        <v>#DIV/0!</v>
      </c>
      <c r="Q231" s="10"/>
      <c r="R231" s="359" t="e">
        <f t="shared" si="25"/>
        <v>#DIV/0!</v>
      </c>
      <c r="S231" s="360"/>
      <c r="T231" s="360"/>
      <c r="U231" s="377"/>
      <c r="V231" s="51" t="e">
        <f t="shared" si="26"/>
        <v>#DIV/0!</v>
      </c>
      <c r="W231" s="10"/>
      <c r="X231" s="10"/>
    </row>
    <row r="232" spans="1:24" ht="15.75" customHeight="1" x14ac:dyDescent="0.25">
      <c r="A232" s="38">
        <v>6</v>
      </c>
      <c r="B232" s="124" t="s">
        <v>685</v>
      </c>
      <c r="C232" s="45"/>
      <c r="D232" s="8"/>
      <c r="E232" s="8"/>
      <c r="F232" s="8"/>
      <c r="G232" s="8"/>
      <c r="H232" s="8"/>
      <c r="I232" s="8"/>
      <c r="J232" s="15" t="e">
        <f t="shared" si="22"/>
        <v>#DIV/0!</v>
      </c>
      <c r="K232" s="8"/>
      <c r="L232" s="8"/>
      <c r="M232" s="15" t="e">
        <f t="shared" si="23"/>
        <v>#DIV/0!</v>
      </c>
      <c r="N232" s="8"/>
      <c r="O232" s="8"/>
      <c r="P232" s="15" t="e">
        <f t="shared" si="24"/>
        <v>#DIV/0!</v>
      </c>
      <c r="Q232" s="10"/>
      <c r="R232" s="359" t="e">
        <f t="shared" si="25"/>
        <v>#DIV/0!</v>
      </c>
      <c r="S232" s="360"/>
      <c r="T232" s="360"/>
      <c r="U232" s="377"/>
      <c r="V232" s="51" t="e">
        <f t="shared" si="26"/>
        <v>#DIV/0!</v>
      </c>
      <c r="W232" s="10"/>
      <c r="X232" s="10"/>
    </row>
    <row r="233" spans="1:24" ht="15.75" customHeight="1" x14ac:dyDescent="0.25">
      <c r="A233" s="38">
        <v>7</v>
      </c>
      <c r="B233" s="124" t="s">
        <v>926</v>
      </c>
      <c r="C233" s="45"/>
      <c r="D233" s="8"/>
      <c r="E233" s="8"/>
      <c r="F233" s="8"/>
      <c r="G233" s="8"/>
      <c r="H233" s="8"/>
      <c r="I233" s="8"/>
      <c r="J233" s="15" t="e">
        <f t="shared" si="22"/>
        <v>#DIV/0!</v>
      </c>
      <c r="K233" s="8"/>
      <c r="L233" s="8"/>
      <c r="M233" s="15" t="e">
        <f t="shared" si="23"/>
        <v>#DIV/0!</v>
      </c>
      <c r="N233" s="8"/>
      <c r="O233" s="8"/>
      <c r="P233" s="15" t="e">
        <f t="shared" si="24"/>
        <v>#DIV/0!</v>
      </c>
      <c r="Q233" s="10"/>
      <c r="R233" s="359" t="e">
        <f t="shared" si="25"/>
        <v>#DIV/0!</v>
      </c>
      <c r="S233" s="360"/>
      <c r="T233" s="360"/>
      <c r="U233" s="377"/>
      <c r="V233" s="51" t="e">
        <f t="shared" si="26"/>
        <v>#DIV/0!</v>
      </c>
      <c r="W233" s="10"/>
      <c r="X233" s="10"/>
    </row>
    <row r="234" spans="1:24" ht="15.75" customHeight="1" x14ac:dyDescent="0.25">
      <c r="A234" s="38">
        <v>8</v>
      </c>
      <c r="B234" s="124" t="s">
        <v>686</v>
      </c>
      <c r="C234" s="45"/>
      <c r="D234" s="8"/>
      <c r="E234" s="8"/>
      <c r="F234" s="8"/>
      <c r="G234" s="8"/>
      <c r="H234" s="8"/>
      <c r="I234" s="8"/>
      <c r="J234" s="15" t="e">
        <f t="shared" si="22"/>
        <v>#DIV/0!</v>
      </c>
      <c r="K234" s="8"/>
      <c r="L234" s="8"/>
      <c r="M234" s="15" t="e">
        <f t="shared" si="23"/>
        <v>#DIV/0!</v>
      </c>
      <c r="N234" s="8"/>
      <c r="O234" s="8"/>
      <c r="P234" s="15" t="e">
        <f t="shared" si="24"/>
        <v>#DIV/0!</v>
      </c>
      <c r="Q234" s="10"/>
      <c r="R234" s="359" t="e">
        <f t="shared" si="25"/>
        <v>#DIV/0!</v>
      </c>
      <c r="S234" s="360"/>
      <c r="T234" s="360"/>
      <c r="U234" s="377"/>
      <c r="V234" s="51" t="e">
        <f t="shared" si="26"/>
        <v>#DIV/0!</v>
      </c>
      <c r="W234" s="10"/>
      <c r="X234" s="10"/>
    </row>
    <row r="235" spans="1:24" ht="15.75" customHeight="1" x14ac:dyDescent="0.25">
      <c r="A235" s="38">
        <v>9</v>
      </c>
      <c r="B235" s="124" t="s">
        <v>687</v>
      </c>
      <c r="C235" s="45"/>
      <c r="D235" s="8"/>
      <c r="E235" s="8"/>
      <c r="F235" s="8"/>
      <c r="G235" s="8"/>
      <c r="H235" s="8"/>
      <c r="I235" s="8"/>
      <c r="J235" s="15" t="e">
        <f t="shared" si="22"/>
        <v>#DIV/0!</v>
      </c>
      <c r="K235" s="8"/>
      <c r="L235" s="8"/>
      <c r="M235" s="15" t="e">
        <f t="shared" si="23"/>
        <v>#DIV/0!</v>
      </c>
      <c r="N235" s="8"/>
      <c r="O235" s="8"/>
      <c r="P235" s="15" t="e">
        <f t="shared" si="24"/>
        <v>#DIV/0!</v>
      </c>
      <c r="Q235" s="10"/>
      <c r="R235" s="359" t="e">
        <f t="shared" si="25"/>
        <v>#DIV/0!</v>
      </c>
      <c r="S235" s="360"/>
      <c r="T235" s="360"/>
      <c r="U235" s="377"/>
      <c r="V235" s="51" t="e">
        <f t="shared" si="26"/>
        <v>#DIV/0!</v>
      </c>
      <c r="W235" s="10"/>
      <c r="X235" s="10"/>
    </row>
    <row r="236" spans="1:24" ht="15.75" customHeight="1" x14ac:dyDescent="0.25">
      <c r="A236" s="38">
        <v>10</v>
      </c>
      <c r="B236" s="124" t="s">
        <v>298</v>
      </c>
      <c r="C236" s="45"/>
      <c r="D236" s="8"/>
      <c r="E236" s="8"/>
      <c r="F236" s="8"/>
      <c r="G236" s="8"/>
      <c r="H236" s="8"/>
      <c r="I236" s="8"/>
      <c r="J236" s="15" t="e">
        <f t="shared" si="22"/>
        <v>#DIV/0!</v>
      </c>
      <c r="K236" s="8"/>
      <c r="L236" s="8"/>
      <c r="M236" s="15" t="e">
        <f t="shared" si="23"/>
        <v>#DIV/0!</v>
      </c>
      <c r="N236" s="8"/>
      <c r="O236" s="8"/>
      <c r="P236" s="15" t="e">
        <f t="shared" si="24"/>
        <v>#DIV/0!</v>
      </c>
      <c r="Q236" s="10"/>
      <c r="R236" s="359" t="e">
        <f t="shared" si="25"/>
        <v>#DIV/0!</v>
      </c>
      <c r="S236" s="360"/>
      <c r="T236" s="360"/>
      <c r="U236" s="377"/>
      <c r="V236" s="51" t="e">
        <f t="shared" si="26"/>
        <v>#DIV/0!</v>
      </c>
      <c r="W236" s="10"/>
      <c r="X236" s="10"/>
    </row>
    <row r="237" spans="1:24" ht="15.75" customHeight="1" x14ac:dyDescent="0.25">
      <c r="A237" s="38">
        <v>11</v>
      </c>
      <c r="B237" s="67" t="s">
        <v>572</v>
      </c>
      <c r="C237" s="45"/>
      <c r="D237" s="8"/>
      <c r="E237" s="8"/>
      <c r="F237" s="8"/>
      <c r="G237" s="8"/>
      <c r="H237" s="8"/>
      <c r="I237" s="8"/>
      <c r="J237" s="15" t="e">
        <f t="shared" si="22"/>
        <v>#DIV/0!</v>
      </c>
      <c r="K237" s="8"/>
      <c r="L237" s="8"/>
      <c r="M237" s="15" t="e">
        <f t="shared" si="23"/>
        <v>#DIV/0!</v>
      </c>
      <c r="N237" s="8"/>
      <c r="O237" s="8"/>
      <c r="P237" s="15" t="e">
        <f t="shared" si="24"/>
        <v>#DIV/0!</v>
      </c>
      <c r="Q237" s="10"/>
      <c r="R237" s="359" t="e">
        <f t="shared" si="25"/>
        <v>#DIV/0!</v>
      </c>
      <c r="S237" s="360"/>
      <c r="T237" s="360"/>
      <c r="U237" s="377"/>
      <c r="V237" s="51" t="e">
        <f t="shared" si="26"/>
        <v>#DIV/0!</v>
      </c>
      <c r="W237" s="10"/>
      <c r="X237" s="10"/>
    </row>
    <row r="238" spans="1:24" ht="15.75" customHeight="1" x14ac:dyDescent="0.25">
      <c r="A238" s="38">
        <v>12</v>
      </c>
      <c r="B238" s="124" t="s">
        <v>398</v>
      </c>
      <c r="C238" s="45"/>
      <c r="D238" s="8"/>
      <c r="E238" s="8"/>
      <c r="F238" s="8"/>
      <c r="G238" s="8"/>
      <c r="H238" s="8"/>
      <c r="I238" s="8"/>
      <c r="J238" s="15" t="e">
        <f t="shared" si="22"/>
        <v>#DIV/0!</v>
      </c>
      <c r="K238" s="8"/>
      <c r="L238" s="8"/>
      <c r="M238" s="15" t="e">
        <f t="shared" si="23"/>
        <v>#DIV/0!</v>
      </c>
      <c r="N238" s="8"/>
      <c r="O238" s="8"/>
      <c r="P238" s="15" t="e">
        <f t="shared" si="24"/>
        <v>#DIV/0!</v>
      </c>
      <c r="Q238" s="10"/>
      <c r="R238" s="359" t="e">
        <f t="shared" si="25"/>
        <v>#DIV/0!</v>
      </c>
      <c r="S238" s="360"/>
      <c r="T238" s="360"/>
      <c r="U238" s="377"/>
      <c r="V238" s="51" t="e">
        <f t="shared" si="26"/>
        <v>#DIV/0!</v>
      </c>
      <c r="W238" s="10"/>
      <c r="X238" s="10"/>
    </row>
    <row r="239" spans="1:24" ht="15.75" customHeight="1" x14ac:dyDescent="0.25">
      <c r="A239" s="38">
        <v>13</v>
      </c>
      <c r="B239" s="124" t="s">
        <v>689</v>
      </c>
      <c r="C239" s="45"/>
      <c r="D239" s="8"/>
      <c r="E239" s="8"/>
      <c r="F239" s="8"/>
      <c r="G239" s="8"/>
      <c r="H239" s="8"/>
      <c r="I239" s="8"/>
      <c r="J239" s="15" t="e">
        <f t="shared" si="22"/>
        <v>#DIV/0!</v>
      </c>
      <c r="K239" s="8"/>
      <c r="L239" s="8"/>
      <c r="M239" s="15" t="e">
        <f t="shared" si="23"/>
        <v>#DIV/0!</v>
      </c>
      <c r="N239" s="8"/>
      <c r="O239" s="8"/>
      <c r="P239" s="15" t="e">
        <f t="shared" si="24"/>
        <v>#DIV/0!</v>
      </c>
      <c r="Q239" s="10"/>
      <c r="R239" s="359" t="e">
        <f t="shared" si="25"/>
        <v>#DIV/0!</v>
      </c>
      <c r="S239" s="360"/>
      <c r="T239" s="360"/>
      <c r="U239" s="377"/>
      <c r="V239" s="51" t="e">
        <f t="shared" si="26"/>
        <v>#DIV/0!</v>
      </c>
      <c r="W239" s="10"/>
      <c r="X239" s="10"/>
    </row>
    <row r="240" spans="1:24" ht="15.75" customHeight="1" x14ac:dyDescent="0.25">
      <c r="A240" s="38">
        <v>14</v>
      </c>
      <c r="B240" s="124" t="s">
        <v>906</v>
      </c>
      <c r="C240" s="45"/>
      <c r="D240" s="8"/>
      <c r="E240" s="8"/>
      <c r="F240" s="8"/>
      <c r="G240" s="8"/>
      <c r="H240" s="8"/>
      <c r="I240" s="8"/>
      <c r="J240" s="15" t="e">
        <f t="shared" si="22"/>
        <v>#DIV/0!</v>
      </c>
      <c r="K240" s="8"/>
      <c r="L240" s="8"/>
      <c r="M240" s="15" t="e">
        <f t="shared" si="23"/>
        <v>#DIV/0!</v>
      </c>
      <c r="N240" s="8"/>
      <c r="O240" s="8"/>
      <c r="P240" s="15" t="e">
        <f t="shared" si="24"/>
        <v>#DIV/0!</v>
      </c>
      <c r="Q240" s="10"/>
      <c r="R240" s="359" t="e">
        <f t="shared" si="25"/>
        <v>#DIV/0!</v>
      </c>
      <c r="S240" s="360"/>
      <c r="T240" s="360"/>
      <c r="U240" s="377"/>
      <c r="V240" s="51" t="e">
        <f t="shared" si="26"/>
        <v>#DIV/0!</v>
      </c>
      <c r="W240" s="10"/>
      <c r="X240" s="10"/>
    </row>
    <row r="241" spans="1:24" ht="15.75" customHeight="1" x14ac:dyDescent="0.25">
      <c r="A241" s="38">
        <v>15</v>
      </c>
      <c r="B241" s="67" t="s">
        <v>616</v>
      </c>
      <c r="C241" s="45"/>
      <c r="D241" s="8"/>
      <c r="E241" s="8"/>
      <c r="F241" s="8"/>
      <c r="G241" s="8"/>
      <c r="H241" s="8"/>
      <c r="I241" s="8"/>
      <c r="J241" s="15" t="e">
        <f t="shared" si="22"/>
        <v>#DIV/0!</v>
      </c>
      <c r="K241" s="8"/>
      <c r="L241" s="8"/>
      <c r="M241" s="15" t="e">
        <f t="shared" si="23"/>
        <v>#DIV/0!</v>
      </c>
      <c r="N241" s="8"/>
      <c r="O241" s="8"/>
      <c r="P241" s="15" t="e">
        <f t="shared" si="24"/>
        <v>#DIV/0!</v>
      </c>
      <c r="Q241" s="10"/>
      <c r="R241" s="359" t="e">
        <f t="shared" si="25"/>
        <v>#DIV/0!</v>
      </c>
      <c r="S241" s="360"/>
      <c r="T241" s="360"/>
      <c r="U241" s="377"/>
      <c r="V241" s="51" t="e">
        <f t="shared" si="26"/>
        <v>#DIV/0!</v>
      </c>
      <c r="W241" s="10"/>
      <c r="X241" s="10"/>
    </row>
    <row r="242" spans="1:24" ht="15.75" customHeight="1" x14ac:dyDescent="0.25">
      <c r="A242" s="38">
        <v>16</v>
      </c>
      <c r="B242" s="124" t="s">
        <v>927</v>
      </c>
      <c r="C242" s="45"/>
      <c r="D242" s="8"/>
      <c r="E242" s="8"/>
      <c r="F242" s="8"/>
      <c r="G242" s="8"/>
      <c r="H242" s="8"/>
      <c r="I242" s="8"/>
      <c r="J242" s="15" t="e">
        <f t="shared" si="22"/>
        <v>#DIV/0!</v>
      </c>
      <c r="K242" s="8"/>
      <c r="L242" s="8"/>
      <c r="M242" s="15" t="e">
        <f t="shared" si="23"/>
        <v>#DIV/0!</v>
      </c>
      <c r="N242" s="8"/>
      <c r="O242" s="8"/>
      <c r="P242" s="15" t="e">
        <f t="shared" si="24"/>
        <v>#DIV/0!</v>
      </c>
      <c r="Q242" s="10"/>
      <c r="R242" s="359" t="e">
        <f t="shared" si="25"/>
        <v>#DIV/0!</v>
      </c>
      <c r="S242" s="360"/>
      <c r="T242" s="360"/>
      <c r="U242" s="377"/>
      <c r="V242" s="51" t="e">
        <f t="shared" si="26"/>
        <v>#DIV/0!</v>
      </c>
      <c r="W242" s="10"/>
      <c r="X242" s="10"/>
    </row>
    <row r="243" spans="1:24" ht="15.75" customHeight="1" x14ac:dyDescent="0.25">
      <c r="A243" s="38">
        <v>17</v>
      </c>
      <c r="B243" s="124" t="s">
        <v>928</v>
      </c>
      <c r="C243" s="45"/>
      <c r="D243" s="8"/>
      <c r="E243" s="8"/>
      <c r="F243" s="8"/>
      <c r="G243" s="8"/>
      <c r="H243" s="8"/>
      <c r="I243" s="13"/>
      <c r="J243" s="15" t="e">
        <f t="shared" si="22"/>
        <v>#DIV/0!</v>
      </c>
      <c r="K243" s="8"/>
      <c r="L243" s="8"/>
      <c r="M243" s="15" t="e">
        <f t="shared" si="23"/>
        <v>#DIV/0!</v>
      </c>
      <c r="N243" s="8"/>
      <c r="O243" s="8"/>
      <c r="P243" s="15" t="e">
        <f t="shared" si="24"/>
        <v>#DIV/0!</v>
      </c>
      <c r="Q243" s="10"/>
      <c r="R243" s="359" t="e">
        <f t="shared" si="25"/>
        <v>#DIV/0!</v>
      </c>
      <c r="S243" s="360"/>
      <c r="T243" s="360"/>
      <c r="U243" s="377"/>
      <c r="V243" s="51" t="e">
        <f t="shared" si="26"/>
        <v>#DIV/0!</v>
      </c>
      <c r="W243" s="10"/>
      <c r="X243" s="10"/>
    </row>
    <row r="244" spans="1:24" ht="15.75" customHeight="1" x14ac:dyDescent="0.25">
      <c r="A244" s="38">
        <v>18</v>
      </c>
      <c r="B244" s="124" t="s">
        <v>690</v>
      </c>
      <c r="C244" s="45"/>
      <c r="D244" s="8"/>
      <c r="E244" s="8"/>
      <c r="F244" s="8"/>
      <c r="G244" s="8"/>
      <c r="H244" s="8"/>
      <c r="I244" s="8"/>
      <c r="J244" s="15" t="e">
        <f t="shared" si="22"/>
        <v>#DIV/0!</v>
      </c>
      <c r="K244" s="8"/>
      <c r="L244" s="8"/>
      <c r="M244" s="15" t="e">
        <f t="shared" si="23"/>
        <v>#DIV/0!</v>
      </c>
      <c r="N244" s="8"/>
      <c r="O244" s="8"/>
      <c r="P244" s="15" t="e">
        <f t="shared" si="24"/>
        <v>#DIV/0!</v>
      </c>
      <c r="Q244" s="10"/>
      <c r="R244" s="359" t="e">
        <f t="shared" si="25"/>
        <v>#DIV/0!</v>
      </c>
      <c r="S244" s="360"/>
      <c r="T244" s="360"/>
      <c r="U244" s="377"/>
      <c r="V244" s="51" t="e">
        <f t="shared" si="26"/>
        <v>#DIV/0!</v>
      </c>
      <c r="W244" s="10"/>
      <c r="X244" s="10"/>
    </row>
    <row r="245" spans="1:24" ht="15.75" customHeight="1" x14ac:dyDescent="0.25">
      <c r="A245" s="38">
        <v>19</v>
      </c>
      <c r="B245" s="124" t="s">
        <v>691</v>
      </c>
      <c r="C245" s="45"/>
      <c r="D245" s="8"/>
      <c r="E245" s="8"/>
      <c r="F245" s="8"/>
      <c r="G245" s="8"/>
      <c r="H245" s="8"/>
      <c r="I245" s="8"/>
      <c r="J245" s="15" t="e">
        <f t="shared" si="22"/>
        <v>#DIV/0!</v>
      </c>
      <c r="K245" s="8"/>
      <c r="L245" s="8"/>
      <c r="M245" s="15" t="e">
        <f t="shared" si="23"/>
        <v>#DIV/0!</v>
      </c>
      <c r="N245" s="8"/>
      <c r="O245" s="8"/>
      <c r="P245" s="15" t="e">
        <f t="shared" si="24"/>
        <v>#DIV/0!</v>
      </c>
      <c r="Q245" s="10"/>
      <c r="R245" s="359" t="e">
        <f t="shared" si="25"/>
        <v>#DIV/0!</v>
      </c>
      <c r="S245" s="360"/>
      <c r="T245" s="360"/>
      <c r="U245" s="377"/>
      <c r="V245" s="51" t="e">
        <f t="shared" si="26"/>
        <v>#DIV/0!</v>
      </c>
      <c r="W245" s="10"/>
      <c r="X245" s="10"/>
    </row>
    <row r="246" spans="1:24" ht="15.75" customHeight="1" x14ac:dyDescent="0.25">
      <c r="A246" s="38">
        <v>20</v>
      </c>
      <c r="B246" s="124" t="s">
        <v>400</v>
      </c>
      <c r="C246" s="45"/>
      <c r="D246" s="8"/>
      <c r="E246" s="8"/>
      <c r="F246" s="8"/>
      <c r="G246" s="8"/>
      <c r="H246" s="8"/>
      <c r="I246" s="8"/>
      <c r="J246" s="15" t="e">
        <f t="shared" si="22"/>
        <v>#DIV/0!</v>
      </c>
      <c r="K246" s="8"/>
      <c r="L246" s="8"/>
      <c r="M246" s="15" t="e">
        <f t="shared" si="23"/>
        <v>#DIV/0!</v>
      </c>
      <c r="N246" s="8"/>
      <c r="O246" s="8"/>
      <c r="P246" s="15" t="e">
        <f t="shared" si="24"/>
        <v>#DIV/0!</v>
      </c>
      <c r="Q246" s="10"/>
      <c r="R246" s="359" t="e">
        <f t="shared" si="25"/>
        <v>#DIV/0!</v>
      </c>
      <c r="S246" s="360"/>
      <c r="T246" s="360"/>
      <c r="U246" s="377"/>
      <c r="V246" s="51" t="e">
        <f t="shared" si="26"/>
        <v>#DIV/0!</v>
      </c>
      <c r="W246" s="10"/>
      <c r="X246" s="10"/>
    </row>
    <row r="247" spans="1:24" ht="15.75" customHeight="1" x14ac:dyDescent="0.25">
      <c r="A247" s="38">
        <v>21</v>
      </c>
      <c r="B247" s="124" t="s">
        <v>693</v>
      </c>
      <c r="C247" s="45"/>
      <c r="D247" s="8"/>
      <c r="E247" s="8"/>
      <c r="F247" s="8"/>
      <c r="G247" s="8"/>
      <c r="H247" s="8"/>
      <c r="I247" s="8"/>
      <c r="J247" s="15" t="e">
        <f t="shared" si="22"/>
        <v>#DIV/0!</v>
      </c>
      <c r="K247" s="8"/>
      <c r="L247" s="8"/>
      <c r="M247" s="15" t="e">
        <f t="shared" si="23"/>
        <v>#DIV/0!</v>
      </c>
      <c r="N247" s="8"/>
      <c r="O247" s="8"/>
      <c r="P247" s="15" t="e">
        <f t="shared" si="24"/>
        <v>#DIV/0!</v>
      </c>
      <c r="Q247" s="10"/>
      <c r="R247" s="359" t="e">
        <f t="shared" si="25"/>
        <v>#DIV/0!</v>
      </c>
      <c r="S247" s="360"/>
      <c r="T247" s="360"/>
      <c r="U247" s="377"/>
      <c r="V247" s="51" t="e">
        <f t="shared" si="26"/>
        <v>#DIV/0!</v>
      </c>
      <c r="W247" s="10"/>
      <c r="X247" s="10"/>
    </row>
    <row r="248" spans="1:24" ht="15.75" customHeight="1" x14ac:dyDescent="0.25">
      <c r="A248" s="38">
        <v>22</v>
      </c>
      <c r="B248" s="124" t="s">
        <v>694</v>
      </c>
      <c r="C248" s="45"/>
      <c r="D248" s="8"/>
      <c r="E248" s="8"/>
      <c r="F248" s="8"/>
      <c r="G248" s="8"/>
      <c r="H248" s="8"/>
      <c r="I248" s="8"/>
      <c r="J248" s="15" t="e">
        <f t="shared" si="22"/>
        <v>#DIV/0!</v>
      </c>
      <c r="K248" s="8"/>
      <c r="L248" s="8"/>
      <c r="M248" s="15" t="e">
        <f t="shared" si="23"/>
        <v>#DIV/0!</v>
      </c>
      <c r="N248" s="8"/>
      <c r="O248" s="8"/>
      <c r="P248" s="15" t="e">
        <f t="shared" si="24"/>
        <v>#DIV/0!</v>
      </c>
      <c r="Q248" s="10"/>
      <c r="R248" s="359" t="e">
        <f t="shared" si="25"/>
        <v>#DIV/0!</v>
      </c>
      <c r="S248" s="360"/>
      <c r="T248" s="360"/>
      <c r="U248" s="377"/>
      <c r="V248" s="51" t="e">
        <f t="shared" si="26"/>
        <v>#DIV/0!</v>
      </c>
      <c r="W248" s="10"/>
      <c r="X248" s="10"/>
    </row>
    <row r="249" spans="1:24" ht="15.75" customHeight="1" x14ac:dyDescent="0.25">
      <c r="A249" s="38">
        <v>23</v>
      </c>
      <c r="B249" s="124" t="s">
        <v>695</v>
      </c>
      <c r="C249" s="135"/>
      <c r="D249" s="135"/>
      <c r="E249" s="135"/>
      <c r="F249" s="8"/>
      <c r="G249" s="8"/>
      <c r="H249" s="8"/>
      <c r="I249" s="8"/>
      <c r="J249" s="15" t="e">
        <f>((AVERAGE(C249:H249))*72%)+I249*8%</f>
        <v>#DIV/0!</v>
      </c>
      <c r="K249" s="8"/>
      <c r="L249" s="8"/>
      <c r="M249" s="15" t="e">
        <f t="shared" si="23"/>
        <v>#DIV/0!</v>
      </c>
      <c r="N249" s="8"/>
      <c r="O249" s="8"/>
      <c r="P249" s="15" t="e">
        <f t="shared" si="24"/>
        <v>#DIV/0!</v>
      </c>
      <c r="Q249" s="10"/>
      <c r="R249" s="359" t="e">
        <f t="shared" si="25"/>
        <v>#DIV/0!</v>
      </c>
      <c r="S249" s="360"/>
      <c r="T249" s="360"/>
      <c r="U249" s="377"/>
      <c r="V249" s="51" t="e">
        <f t="shared" si="26"/>
        <v>#DIV/0!</v>
      </c>
      <c r="W249" s="10"/>
      <c r="X249" s="10"/>
    </row>
    <row r="250" spans="1:24" ht="15.75" customHeight="1" x14ac:dyDescent="0.25">
      <c r="A250" s="38">
        <v>24</v>
      </c>
      <c r="B250" s="124" t="s">
        <v>696</v>
      </c>
      <c r="C250" s="134"/>
      <c r="D250" s="9"/>
      <c r="E250" s="9"/>
      <c r="F250" s="26"/>
      <c r="G250" s="8"/>
      <c r="H250" s="8"/>
      <c r="I250" s="8"/>
      <c r="J250" s="15" t="e">
        <f>((AVERAGE(C250:H250))*72%)+I250*8%</f>
        <v>#DIV/0!</v>
      </c>
      <c r="K250" s="8"/>
      <c r="L250" s="8"/>
      <c r="M250" s="15" t="e">
        <f t="shared" si="23"/>
        <v>#DIV/0!</v>
      </c>
      <c r="N250" s="8"/>
      <c r="O250" s="8"/>
      <c r="P250" s="15" t="e">
        <f t="shared" si="24"/>
        <v>#DIV/0!</v>
      </c>
      <c r="Q250" s="10"/>
      <c r="R250" s="359" t="e">
        <f t="shared" si="25"/>
        <v>#DIV/0!</v>
      </c>
      <c r="S250" s="360"/>
      <c r="T250" s="360"/>
      <c r="U250" s="377"/>
      <c r="V250" s="51" t="e">
        <f t="shared" si="26"/>
        <v>#DIV/0!</v>
      </c>
      <c r="W250" s="10"/>
      <c r="X250" s="10"/>
    </row>
    <row r="251" spans="1:24" ht="15.75" customHeight="1" x14ac:dyDescent="0.25">
      <c r="A251" s="38">
        <v>25</v>
      </c>
      <c r="B251" s="124" t="s">
        <v>697</v>
      </c>
      <c r="C251" s="45"/>
      <c r="D251" s="8"/>
      <c r="E251" s="8"/>
      <c r="F251" s="8"/>
      <c r="G251" s="8"/>
      <c r="H251" s="8"/>
      <c r="I251" s="8"/>
      <c r="J251" s="15" t="e">
        <f t="shared" si="22"/>
        <v>#DIV/0!</v>
      </c>
      <c r="K251" s="8"/>
      <c r="L251" s="8"/>
      <c r="M251" s="15" t="e">
        <f t="shared" si="23"/>
        <v>#DIV/0!</v>
      </c>
      <c r="N251" s="8"/>
      <c r="O251" s="8"/>
      <c r="P251" s="15" t="e">
        <f t="shared" si="24"/>
        <v>#DIV/0!</v>
      </c>
      <c r="Q251" s="10"/>
      <c r="R251" s="359" t="e">
        <f t="shared" si="25"/>
        <v>#DIV/0!</v>
      </c>
      <c r="S251" s="360"/>
      <c r="T251" s="360"/>
      <c r="U251" s="377"/>
      <c r="V251" s="51" t="e">
        <f t="shared" si="26"/>
        <v>#DIV/0!</v>
      </c>
      <c r="W251" s="10"/>
      <c r="X251" s="10"/>
    </row>
    <row r="252" spans="1:24" ht="15.75" customHeight="1" x14ac:dyDescent="0.25">
      <c r="A252" s="38">
        <v>26</v>
      </c>
      <c r="B252" s="124" t="s">
        <v>698</v>
      </c>
      <c r="C252" s="45"/>
      <c r="D252" s="8"/>
      <c r="E252" s="8"/>
      <c r="F252" s="8"/>
      <c r="G252" s="8"/>
      <c r="H252" s="8"/>
      <c r="I252" s="8"/>
      <c r="J252" s="15" t="e">
        <f t="shared" si="22"/>
        <v>#DIV/0!</v>
      </c>
      <c r="K252" s="8"/>
      <c r="L252" s="8"/>
      <c r="M252" s="15" t="e">
        <f t="shared" si="23"/>
        <v>#DIV/0!</v>
      </c>
      <c r="N252" s="8"/>
      <c r="O252" s="8"/>
      <c r="P252" s="15" t="e">
        <f t="shared" si="24"/>
        <v>#DIV/0!</v>
      </c>
      <c r="Q252" s="10"/>
      <c r="R252" s="359" t="e">
        <f t="shared" si="25"/>
        <v>#DIV/0!</v>
      </c>
      <c r="S252" s="360"/>
      <c r="T252" s="360"/>
      <c r="U252" s="377"/>
      <c r="V252" s="51" t="e">
        <f t="shared" si="26"/>
        <v>#DIV/0!</v>
      </c>
      <c r="W252" s="10"/>
      <c r="X252" s="10"/>
    </row>
    <row r="253" spans="1:24" ht="15.75" customHeight="1" x14ac:dyDescent="0.25">
      <c r="A253" s="38">
        <v>27</v>
      </c>
      <c r="B253" s="124" t="s">
        <v>699</v>
      </c>
      <c r="C253" s="45"/>
      <c r="D253" s="8"/>
      <c r="E253" s="8"/>
      <c r="F253" s="8"/>
      <c r="G253" s="8"/>
      <c r="H253" s="8"/>
      <c r="I253" s="8"/>
      <c r="J253" s="15" t="e">
        <f t="shared" si="22"/>
        <v>#DIV/0!</v>
      </c>
      <c r="K253" s="8"/>
      <c r="L253" s="8"/>
      <c r="M253" s="15" t="e">
        <f t="shared" si="23"/>
        <v>#DIV/0!</v>
      </c>
      <c r="N253" s="8"/>
      <c r="O253" s="8"/>
      <c r="P253" s="15" t="e">
        <f t="shared" si="24"/>
        <v>#DIV/0!</v>
      </c>
      <c r="Q253" s="10"/>
      <c r="R253" s="359" t="e">
        <f t="shared" si="25"/>
        <v>#DIV/0!</v>
      </c>
      <c r="S253" s="360"/>
      <c r="T253" s="360"/>
      <c r="U253" s="377"/>
      <c r="V253" s="51" t="e">
        <f t="shared" si="26"/>
        <v>#DIV/0!</v>
      </c>
      <c r="W253" s="10"/>
      <c r="X253" s="10"/>
    </row>
    <row r="254" spans="1:24" ht="15.75" customHeight="1" x14ac:dyDescent="0.25">
      <c r="A254" s="38">
        <v>28</v>
      </c>
      <c r="B254" s="163" t="s">
        <v>700</v>
      </c>
      <c r="C254" s="45"/>
      <c r="D254" s="8"/>
      <c r="E254" s="8"/>
      <c r="F254" s="8"/>
      <c r="G254" s="8"/>
      <c r="H254" s="8"/>
      <c r="I254" s="8"/>
      <c r="J254" s="15" t="e">
        <f t="shared" si="22"/>
        <v>#DIV/0!</v>
      </c>
      <c r="K254" s="8"/>
      <c r="L254" s="8"/>
      <c r="M254" s="15" t="e">
        <f t="shared" si="23"/>
        <v>#DIV/0!</v>
      </c>
      <c r="N254" s="8"/>
      <c r="O254" s="8"/>
      <c r="P254" s="15" t="e">
        <f t="shared" si="24"/>
        <v>#DIV/0!</v>
      </c>
      <c r="Q254" s="10"/>
      <c r="R254" s="359" t="e">
        <f t="shared" si="25"/>
        <v>#DIV/0!</v>
      </c>
      <c r="S254" s="360"/>
      <c r="T254" s="360"/>
      <c r="U254" s="377"/>
      <c r="V254" s="51" t="e">
        <f t="shared" si="26"/>
        <v>#DIV/0!</v>
      </c>
      <c r="W254" s="10"/>
      <c r="X254" s="10"/>
    </row>
    <row r="255" spans="1:24" ht="15.75" customHeight="1" x14ac:dyDescent="0.25">
      <c r="A255" s="38">
        <v>29</v>
      </c>
      <c r="B255" s="124" t="s">
        <v>701</v>
      </c>
      <c r="C255" s="45"/>
      <c r="D255" s="8"/>
      <c r="E255" s="8"/>
      <c r="F255" s="8"/>
      <c r="G255" s="8"/>
      <c r="H255" s="8"/>
      <c r="I255" s="8"/>
      <c r="J255" s="15" t="e">
        <f t="shared" si="22"/>
        <v>#DIV/0!</v>
      </c>
      <c r="K255" s="8"/>
      <c r="L255" s="8"/>
      <c r="M255" s="15" t="e">
        <f t="shared" si="23"/>
        <v>#DIV/0!</v>
      </c>
      <c r="N255" s="8"/>
      <c r="O255" s="8"/>
      <c r="P255" s="15" t="e">
        <f t="shared" si="24"/>
        <v>#DIV/0!</v>
      </c>
      <c r="Q255" s="10"/>
      <c r="R255" s="359" t="e">
        <f t="shared" si="25"/>
        <v>#DIV/0!</v>
      </c>
      <c r="S255" s="360"/>
      <c r="T255" s="360"/>
      <c r="U255" s="377"/>
      <c r="V255" s="51" t="e">
        <f t="shared" si="26"/>
        <v>#DIV/0!</v>
      </c>
      <c r="W255" s="10"/>
      <c r="X255" s="10"/>
    </row>
    <row r="256" spans="1:24" ht="15.75" customHeight="1" x14ac:dyDescent="0.25">
      <c r="A256" s="38">
        <v>30</v>
      </c>
      <c r="B256" s="124" t="s">
        <v>702</v>
      </c>
      <c r="C256" s="45"/>
      <c r="D256" s="8"/>
      <c r="E256" s="8"/>
      <c r="F256" s="8"/>
      <c r="G256" s="8"/>
      <c r="H256" s="8"/>
      <c r="I256" s="8"/>
      <c r="J256" s="15" t="e">
        <f t="shared" si="22"/>
        <v>#DIV/0!</v>
      </c>
      <c r="K256" s="8"/>
      <c r="L256" s="8"/>
      <c r="M256" s="15" t="e">
        <f t="shared" si="23"/>
        <v>#DIV/0!</v>
      </c>
      <c r="N256" s="8"/>
      <c r="O256" s="8"/>
      <c r="P256" s="15" t="e">
        <f t="shared" si="24"/>
        <v>#DIV/0!</v>
      </c>
      <c r="Q256" s="10"/>
      <c r="R256" s="359" t="e">
        <f t="shared" si="25"/>
        <v>#DIV/0!</v>
      </c>
      <c r="S256" s="360"/>
      <c r="T256" s="360"/>
      <c r="U256" s="377"/>
      <c r="V256" s="51" t="e">
        <f t="shared" si="26"/>
        <v>#DIV/0!</v>
      </c>
      <c r="W256" s="10"/>
      <c r="X256" s="10"/>
    </row>
    <row r="257" spans="1:24" ht="15.75" customHeight="1" x14ac:dyDescent="0.25">
      <c r="A257" s="38">
        <v>31</v>
      </c>
      <c r="B257" s="124" t="s">
        <v>703</v>
      </c>
      <c r="C257" s="45"/>
      <c r="D257" s="8"/>
      <c r="E257" s="8"/>
      <c r="F257" s="8"/>
      <c r="G257" s="8"/>
      <c r="H257" s="8"/>
      <c r="I257" s="8"/>
      <c r="J257" s="15" t="e">
        <f t="shared" si="22"/>
        <v>#DIV/0!</v>
      </c>
      <c r="K257" s="8"/>
      <c r="L257" s="8"/>
      <c r="M257" s="15" t="e">
        <f t="shared" si="23"/>
        <v>#DIV/0!</v>
      </c>
      <c r="N257" s="8"/>
      <c r="O257" s="8"/>
      <c r="P257" s="15" t="e">
        <f t="shared" si="24"/>
        <v>#DIV/0!</v>
      </c>
      <c r="Q257" s="10"/>
      <c r="R257" s="359" t="e">
        <f t="shared" si="25"/>
        <v>#DIV/0!</v>
      </c>
      <c r="S257" s="360"/>
      <c r="T257" s="360"/>
      <c r="U257" s="377"/>
      <c r="V257" s="51" t="e">
        <f t="shared" si="26"/>
        <v>#DIV/0!</v>
      </c>
      <c r="W257" s="10"/>
      <c r="X257" s="10"/>
    </row>
    <row r="258" spans="1:24" ht="15.75" customHeight="1" x14ac:dyDescent="0.25">
      <c r="A258" s="38">
        <v>32</v>
      </c>
      <c r="B258" s="67"/>
      <c r="C258" s="173"/>
      <c r="D258" s="174"/>
      <c r="E258" s="175"/>
      <c r="F258" s="8"/>
      <c r="G258" s="8"/>
      <c r="H258" s="8"/>
      <c r="I258" s="8"/>
      <c r="J258" s="15" t="e">
        <f t="shared" si="22"/>
        <v>#DIV/0!</v>
      </c>
      <c r="K258" s="8"/>
      <c r="L258" s="8"/>
      <c r="M258" s="15" t="e">
        <f t="shared" si="23"/>
        <v>#DIV/0!</v>
      </c>
      <c r="N258" s="8"/>
      <c r="O258" s="8"/>
      <c r="P258" s="15" t="e">
        <f t="shared" si="24"/>
        <v>#DIV/0!</v>
      </c>
      <c r="Q258" s="10"/>
      <c r="R258" s="359" t="e">
        <f t="shared" si="25"/>
        <v>#DIV/0!</v>
      </c>
      <c r="S258" s="360"/>
      <c r="T258" s="360"/>
      <c r="U258" s="377"/>
      <c r="V258" s="51" t="e">
        <f t="shared" si="26"/>
        <v>#DIV/0!</v>
      </c>
      <c r="W258" s="10"/>
      <c r="X258" s="10"/>
    </row>
    <row r="259" spans="1:24" ht="15.75" customHeight="1" x14ac:dyDescent="0.25">
      <c r="A259" s="38">
        <v>33</v>
      </c>
      <c r="B259" s="133"/>
      <c r="C259" s="176"/>
      <c r="D259" s="177"/>
      <c r="E259" s="178"/>
      <c r="F259" s="8"/>
      <c r="G259" s="8"/>
      <c r="H259" s="8"/>
      <c r="I259" s="8"/>
      <c r="J259" s="15" t="e">
        <f t="shared" si="22"/>
        <v>#DIV/0!</v>
      </c>
      <c r="K259" s="8"/>
      <c r="L259" s="8"/>
      <c r="M259" s="15" t="e">
        <f t="shared" si="23"/>
        <v>#DIV/0!</v>
      </c>
      <c r="N259" s="8"/>
      <c r="O259" s="8"/>
      <c r="P259" s="15" t="e">
        <f t="shared" si="24"/>
        <v>#DIV/0!</v>
      </c>
      <c r="Q259" s="10"/>
      <c r="R259" s="359" t="e">
        <f t="shared" si="25"/>
        <v>#DIV/0!</v>
      </c>
      <c r="S259" s="360"/>
      <c r="T259" s="360"/>
      <c r="U259" s="377"/>
      <c r="V259" s="51" t="e">
        <f t="shared" si="26"/>
        <v>#DIV/0!</v>
      </c>
      <c r="W259" s="10"/>
      <c r="X259" s="10"/>
    </row>
    <row r="260" spans="1:24" ht="15.75" customHeight="1" x14ac:dyDescent="0.25">
      <c r="A260" s="38">
        <v>34</v>
      </c>
      <c r="B260" s="124"/>
      <c r="C260" s="173"/>
      <c r="D260" s="174"/>
      <c r="E260" s="175"/>
      <c r="F260" s="8"/>
      <c r="G260" s="8"/>
      <c r="H260" s="8"/>
      <c r="I260" s="8"/>
      <c r="J260" s="15" t="e">
        <f t="shared" si="22"/>
        <v>#DIV/0!</v>
      </c>
      <c r="K260" s="8"/>
      <c r="L260" s="8"/>
      <c r="M260" s="15" t="e">
        <f t="shared" si="23"/>
        <v>#DIV/0!</v>
      </c>
      <c r="N260" s="8"/>
      <c r="O260" s="8"/>
      <c r="P260" s="15" t="e">
        <f t="shared" si="24"/>
        <v>#DIV/0!</v>
      </c>
      <c r="Q260" s="10"/>
      <c r="R260" s="359" t="e">
        <f t="shared" si="25"/>
        <v>#DIV/0!</v>
      </c>
      <c r="S260" s="360"/>
      <c r="T260" s="360"/>
      <c r="U260" s="377"/>
      <c r="V260" s="51" t="e">
        <f t="shared" si="26"/>
        <v>#DIV/0!</v>
      </c>
      <c r="W260" s="10"/>
      <c r="X260" s="10"/>
    </row>
    <row r="261" spans="1:24" ht="15.75" customHeight="1" x14ac:dyDescent="0.25">
      <c r="A261" s="38">
        <v>35</v>
      </c>
      <c r="B261" s="119"/>
      <c r="C261" s="45"/>
      <c r="D261" s="8"/>
      <c r="E261" s="8"/>
      <c r="F261" s="8"/>
      <c r="G261" s="8"/>
      <c r="H261" s="8"/>
      <c r="I261" s="8"/>
      <c r="J261" s="15" t="e">
        <f>((AVERAGE(F261:H261))*72%)+I261*8%</f>
        <v>#DIV/0!</v>
      </c>
      <c r="K261" s="8"/>
      <c r="L261" s="8"/>
      <c r="M261" s="15" t="e">
        <f t="shared" si="23"/>
        <v>#DIV/0!</v>
      </c>
      <c r="N261" s="8"/>
      <c r="O261" s="8"/>
      <c r="P261" s="15" t="e">
        <f t="shared" si="24"/>
        <v>#DIV/0!</v>
      </c>
      <c r="Q261" s="10"/>
      <c r="R261" s="359" t="e">
        <f t="shared" si="25"/>
        <v>#DIV/0!</v>
      </c>
      <c r="S261" s="360"/>
      <c r="T261" s="360"/>
      <c r="U261" s="377"/>
      <c r="V261" s="51" t="e">
        <f t="shared" si="26"/>
        <v>#DIV/0!</v>
      </c>
      <c r="W261" s="10"/>
      <c r="X261" s="10"/>
    </row>
    <row r="262" spans="1:24" ht="15.75" customHeight="1" x14ac:dyDescent="0.25">
      <c r="A262" s="38">
        <v>36</v>
      </c>
      <c r="B262" s="64"/>
      <c r="C262" s="45"/>
      <c r="D262" s="8"/>
      <c r="E262" s="8"/>
      <c r="F262" s="8"/>
      <c r="G262" s="8"/>
      <c r="H262" s="8"/>
      <c r="I262" s="8"/>
      <c r="J262" s="15" t="e">
        <f>((AVERAGE(F262:H262))*72%)+I262*8%</f>
        <v>#DIV/0!</v>
      </c>
      <c r="K262" s="8"/>
      <c r="L262" s="8"/>
      <c r="M262" s="15" t="e">
        <f t="shared" si="23"/>
        <v>#DIV/0!</v>
      </c>
      <c r="N262" s="8"/>
      <c r="O262" s="8"/>
      <c r="P262" s="15" t="e">
        <f t="shared" si="24"/>
        <v>#DIV/0!</v>
      </c>
      <c r="Q262" s="10"/>
      <c r="R262" s="359" t="e">
        <f t="shared" si="25"/>
        <v>#DIV/0!</v>
      </c>
      <c r="S262" s="360"/>
      <c r="T262" s="360"/>
      <c r="U262" s="377"/>
      <c r="V262" s="51" t="e">
        <f t="shared" si="26"/>
        <v>#DIV/0!</v>
      </c>
      <c r="W262" s="10"/>
      <c r="X262" s="10"/>
    </row>
    <row r="263" spans="1:24" ht="15.75" customHeight="1" x14ac:dyDescent="0.25">
      <c r="A263" s="38">
        <v>37</v>
      </c>
      <c r="B263" s="82"/>
      <c r="C263" s="45"/>
      <c r="D263" s="8"/>
      <c r="E263" s="8"/>
      <c r="F263" s="8"/>
      <c r="G263" s="8"/>
      <c r="H263" s="8"/>
      <c r="I263" s="8"/>
      <c r="J263" s="15" t="e">
        <f t="shared" si="22"/>
        <v>#DIV/0!</v>
      </c>
      <c r="K263" s="8"/>
      <c r="L263" s="8"/>
      <c r="M263" s="15" t="e">
        <f t="shared" si="23"/>
        <v>#DIV/0!</v>
      </c>
      <c r="N263" s="8"/>
      <c r="O263" s="8"/>
      <c r="P263" s="15" t="e">
        <f t="shared" si="24"/>
        <v>#DIV/0!</v>
      </c>
      <c r="Q263" s="10"/>
      <c r="R263" s="359" t="e">
        <f t="shared" si="25"/>
        <v>#DIV/0!</v>
      </c>
      <c r="S263" s="360"/>
      <c r="T263" s="360"/>
      <c r="U263" s="377"/>
      <c r="V263" s="51" t="e">
        <f t="shared" si="26"/>
        <v>#DIV/0!</v>
      </c>
      <c r="W263" s="10"/>
      <c r="X263" s="10"/>
    </row>
    <row r="264" spans="1:24" ht="15.75" customHeight="1" x14ac:dyDescent="0.25">
      <c r="A264" s="38">
        <v>38</v>
      </c>
      <c r="B264" s="64"/>
      <c r="C264" s="45"/>
      <c r="D264" s="8"/>
      <c r="E264" s="8"/>
      <c r="F264" s="8"/>
      <c r="G264" s="8"/>
      <c r="H264" s="8"/>
      <c r="I264" s="8"/>
      <c r="J264" s="15" t="e">
        <f t="shared" si="22"/>
        <v>#DIV/0!</v>
      </c>
      <c r="K264" s="8"/>
      <c r="L264" s="8"/>
      <c r="M264" s="15" t="e">
        <f t="shared" si="23"/>
        <v>#DIV/0!</v>
      </c>
      <c r="N264" s="8"/>
      <c r="O264" s="8"/>
      <c r="P264" s="15" t="e">
        <f t="shared" si="24"/>
        <v>#DIV/0!</v>
      </c>
      <c r="Q264" s="10"/>
      <c r="R264" s="359" t="e">
        <f t="shared" si="25"/>
        <v>#DIV/0!</v>
      </c>
      <c r="S264" s="360"/>
      <c r="T264" s="360"/>
      <c r="U264" s="377"/>
      <c r="V264" s="51" t="e">
        <f t="shared" si="26"/>
        <v>#DIV/0!</v>
      </c>
      <c r="W264" s="10"/>
      <c r="X264" s="10"/>
    </row>
    <row r="265" spans="1:24" ht="15.75" customHeight="1" x14ac:dyDescent="0.25">
      <c r="A265" s="38">
        <v>39</v>
      </c>
      <c r="B265" s="82"/>
      <c r="C265" s="45"/>
      <c r="D265" s="8"/>
      <c r="E265" s="8"/>
      <c r="F265" s="8"/>
      <c r="G265" s="8"/>
      <c r="H265" s="8"/>
      <c r="I265" s="8"/>
      <c r="J265" s="15" t="e">
        <f t="shared" si="22"/>
        <v>#DIV/0!</v>
      </c>
      <c r="K265" s="8"/>
      <c r="L265" s="8"/>
      <c r="M265" s="15" t="e">
        <f t="shared" si="23"/>
        <v>#DIV/0!</v>
      </c>
      <c r="N265" s="8"/>
      <c r="O265" s="8"/>
      <c r="P265" s="15" t="e">
        <f t="shared" si="24"/>
        <v>#DIV/0!</v>
      </c>
      <c r="Q265" s="10"/>
      <c r="R265" s="359" t="e">
        <f t="shared" si="25"/>
        <v>#DIV/0!</v>
      </c>
      <c r="S265" s="360"/>
      <c r="T265" s="360"/>
      <c r="U265" s="377"/>
      <c r="V265" s="51" t="e">
        <f t="shared" si="26"/>
        <v>#DIV/0!</v>
      </c>
      <c r="W265" s="10"/>
      <c r="X265" s="10"/>
    </row>
    <row r="266" spans="1:24" ht="15.75" customHeight="1" x14ac:dyDescent="0.25">
      <c r="A266" s="38">
        <v>40</v>
      </c>
      <c r="B266" s="83"/>
      <c r="C266" s="45"/>
      <c r="D266" s="8"/>
      <c r="E266" s="8"/>
      <c r="F266" s="8"/>
      <c r="G266" s="8"/>
      <c r="H266" s="8"/>
      <c r="I266" s="8"/>
      <c r="J266" s="15" t="e">
        <f t="shared" si="22"/>
        <v>#DIV/0!</v>
      </c>
      <c r="K266" s="8"/>
      <c r="L266" s="8"/>
      <c r="M266" s="15" t="e">
        <f t="shared" si="23"/>
        <v>#DIV/0!</v>
      </c>
      <c r="N266" s="8"/>
      <c r="O266" s="8"/>
      <c r="P266" s="15" t="e">
        <f t="shared" si="24"/>
        <v>#DIV/0!</v>
      </c>
      <c r="Q266" s="10"/>
      <c r="R266" s="359" t="e">
        <f t="shared" si="25"/>
        <v>#DIV/0!</v>
      </c>
      <c r="S266" s="360"/>
      <c r="T266" s="360"/>
      <c r="U266" s="377"/>
      <c r="V266" s="51" t="e">
        <f t="shared" si="26"/>
        <v>#DIV/0!</v>
      </c>
      <c r="W266" s="10"/>
      <c r="X266" s="10"/>
    </row>
    <row r="267" spans="1:24" ht="15.75" customHeight="1" x14ac:dyDescent="0.25">
      <c r="A267" s="38">
        <v>41</v>
      </c>
      <c r="B267" s="53"/>
      <c r="C267" s="45"/>
      <c r="D267" s="8"/>
      <c r="E267" s="8"/>
      <c r="F267" s="8"/>
      <c r="G267" s="8"/>
      <c r="H267" s="8"/>
      <c r="I267" s="8"/>
      <c r="J267" s="15" t="e">
        <f t="shared" si="22"/>
        <v>#DIV/0!</v>
      </c>
      <c r="K267" s="8"/>
      <c r="L267" s="8"/>
      <c r="M267" s="15" t="e">
        <f t="shared" si="23"/>
        <v>#DIV/0!</v>
      </c>
      <c r="N267" s="8"/>
      <c r="O267" s="8"/>
      <c r="P267" s="15" t="e">
        <f t="shared" si="24"/>
        <v>#DIV/0!</v>
      </c>
      <c r="Q267" s="10"/>
      <c r="R267" s="359" t="e">
        <f t="shared" si="25"/>
        <v>#DIV/0!</v>
      </c>
      <c r="S267" s="360"/>
      <c r="T267" s="360"/>
      <c r="U267" s="377"/>
      <c r="V267" s="51" t="e">
        <f t="shared" si="26"/>
        <v>#DIV/0!</v>
      </c>
      <c r="W267" s="10"/>
      <c r="X267" s="10"/>
    </row>
    <row r="268" spans="1:24" ht="15.75" customHeight="1" x14ac:dyDescent="0.25">
      <c r="A268" s="38">
        <v>42</v>
      </c>
      <c r="B268" s="40"/>
      <c r="C268" s="45"/>
      <c r="D268" s="8"/>
      <c r="E268" s="8"/>
      <c r="F268" s="8"/>
      <c r="G268" s="8"/>
      <c r="H268" s="8"/>
      <c r="I268" s="8"/>
      <c r="J268" s="15" t="e">
        <f t="shared" si="22"/>
        <v>#DIV/0!</v>
      </c>
      <c r="K268" s="8"/>
      <c r="L268" s="8"/>
      <c r="M268" s="15" t="e">
        <f t="shared" si="23"/>
        <v>#DIV/0!</v>
      </c>
      <c r="N268" s="8"/>
      <c r="O268" s="8"/>
      <c r="P268" s="15" t="e">
        <f t="shared" si="24"/>
        <v>#DIV/0!</v>
      </c>
      <c r="Q268" s="10"/>
      <c r="R268" s="359" t="e">
        <f t="shared" si="25"/>
        <v>#DIV/0!</v>
      </c>
      <c r="S268" s="360"/>
      <c r="T268" s="360"/>
      <c r="U268" s="377"/>
      <c r="V268" s="51" t="e">
        <f t="shared" si="26"/>
        <v>#DIV/0!</v>
      </c>
      <c r="W268" s="10"/>
      <c r="X268" s="10"/>
    </row>
    <row r="269" spans="1:24" ht="15.75" customHeight="1" x14ac:dyDescent="0.25">
      <c r="A269" s="38">
        <v>43</v>
      </c>
      <c r="B269" s="40"/>
      <c r="C269" s="45"/>
      <c r="D269" s="8"/>
      <c r="E269" s="8"/>
      <c r="F269" s="8"/>
      <c r="G269" s="8"/>
      <c r="H269" s="8"/>
      <c r="I269" s="8"/>
      <c r="J269" s="15" t="e">
        <f t="shared" si="22"/>
        <v>#DIV/0!</v>
      </c>
      <c r="K269" s="8"/>
      <c r="L269" s="8"/>
      <c r="M269" s="15" t="e">
        <f t="shared" si="23"/>
        <v>#DIV/0!</v>
      </c>
      <c r="N269" s="8"/>
      <c r="O269" s="8"/>
      <c r="P269" s="15" t="e">
        <f t="shared" si="24"/>
        <v>#DIV/0!</v>
      </c>
      <c r="Q269" s="10"/>
      <c r="R269" s="359" t="e">
        <f t="shared" si="25"/>
        <v>#DIV/0!</v>
      </c>
      <c r="S269" s="360"/>
      <c r="T269" s="360"/>
      <c r="U269" s="377"/>
      <c r="V269" s="51" t="e">
        <f t="shared" si="26"/>
        <v>#DIV/0!</v>
      </c>
      <c r="W269" s="10"/>
      <c r="X269" s="10"/>
    </row>
    <row r="270" spans="1:24" ht="15.75" customHeight="1" x14ac:dyDescent="0.25">
      <c r="A270" s="38">
        <v>44</v>
      </c>
      <c r="B270" s="40"/>
      <c r="C270" s="45"/>
      <c r="D270" s="8"/>
      <c r="E270" s="8"/>
      <c r="F270" s="8"/>
      <c r="G270" s="8"/>
      <c r="H270" s="8"/>
      <c r="I270" s="8"/>
      <c r="J270" s="15" t="e">
        <f t="shared" si="22"/>
        <v>#DIV/0!</v>
      </c>
      <c r="K270" s="8"/>
      <c r="L270" s="8"/>
      <c r="M270" s="15" t="e">
        <f t="shared" si="23"/>
        <v>#DIV/0!</v>
      </c>
      <c r="N270" s="8"/>
      <c r="O270" s="8"/>
      <c r="P270" s="15" t="e">
        <f t="shared" si="24"/>
        <v>#DIV/0!</v>
      </c>
      <c r="Q270" s="10"/>
      <c r="R270" s="359" t="e">
        <f t="shared" si="25"/>
        <v>#DIV/0!</v>
      </c>
      <c r="S270" s="360"/>
      <c r="T270" s="360"/>
      <c r="U270" s="377"/>
      <c r="V270" s="51" t="e">
        <f t="shared" si="26"/>
        <v>#DIV/0!</v>
      </c>
      <c r="W270" s="10"/>
      <c r="X270" s="10"/>
    </row>
    <row r="271" spans="1:24" ht="15.75" customHeight="1" x14ac:dyDescent="0.25">
      <c r="A271" s="38">
        <v>45</v>
      </c>
      <c r="B271" s="40"/>
      <c r="C271" s="45"/>
      <c r="D271" s="8"/>
      <c r="E271" s="8"/>
      <c r="F271" s="8"/>
      <c r="G271" s="8"/>
      <c r="H271" s="8"/>
      <c r="I271" s="8"/>
      <c r="J271" s="15" t="e">
        <f t="shared" si="22"/>
        <v>#DIV/0!</v>
      </c>
      <c r="K271" s="8"/>
      <c r="L271" s="8"/>
      <c r="M271" s="15" t="e">
        <f t="shared" si="23"/>
        <v>#DIV/0!</v>
      </c>
      <c r="N271" s="8"/>
      <c r="O271" s="8"/>
      <c r="P271" s="15" t="e">
        <f t="shared" si="24"/>
        <v>#DIV/0!</v>
      </c>
      <c r="Q271" s="10"/>
      <c r="R271" s="359" t="e">
        <f t="shared" si="25"/>
        <v>#DIV/0!</v>
      </c>
      <c r="S271" s="360"/>
      <c r="T271" s="360"/>
      <c r="U271" s="377"/>
      <c r="V271" s="51" t="e">
        <f t="shared" si="26"/>
        <v>#DIV/0!</v>
      </c>
      <c r="W271" s="10"/>
      <c r="X271" s="10"/>
    </row>
    <row r="272" spans="1:24" ht="15.75" customHeight="1" thickBot="1" x14ac:dyDescent="0.3">
      <c r="A272" s="39">
        <v>46</v>
      </c>
      <c r="B272" s="41"/>
      <c r="C272" s="46"/>
      <c r="D272" s="47"/>
      <c r="E272" s="47"/>
      <c r="F272" s="47"/>
      <c r="G272" s="47"/>
      <c r="H272" s="47"/>
      <c r="I272" s="47"/>
      <c r="J272" s="48" t="e">
        <f t="shared" si="22"/>
        <v>#DIV/0!</v>
      </c>
      <c r="K272" s="47"/>
      <c r="L272" s="47"/>
      <c r="M272" s="48" t="e">
        <f t="shared" si="23"/>
        <v>#DIV/0!</v>
      </c>
      <c r="N272" s="47"/>
      <c r="O272" s="47"/>
      <c r="P272" s="48" t="e">
        <f t="shared" si="24"/>
        <v>#DIV/0!</v>
      </c>
      <c r="Q272" s="49"/>
      <c r="R272" s="370" t="e">
        <f t="shared" si="25"/>
        <v>#DIV/0!</v>
      </c>
      <c r="S272" s="371"/>
      <c r="T272" s="371"/>
      <c r="U272" s="385"/>
      <c r="V272" s="52" t="e">
        <f t="shared" si="26"/>
        <v>#DIV/0!</v>
      </c>
      <c r="W272" s="10"/>
      <c r="X272" s="10"/>
    </row>
    <row r="273" spans="1:24" ht="15.75" customHeight="1" x14ac:dyDescent="0.25">
      <c r="A273" s="263"/>
      <c r="B273" s="375"/>
      <c r="C273" s="257"/>
      <c r="D273" s="257"/>
      <c r="E273" s="267"/>
      <c r="F273" s="270"/>
      <c r="G273" s="270"/>
      <c r="H273" s="270"/>
      <c r="I273" s="270"/>
      <c r="J273" s="272"/>
      <c r="K273" s="272"/>
      <c r="L273" s="257"/>
      <c r="M273" s="259"/>
      <c r="N273" s="259"/>
      <c r="O273" s="259"/>
      <c r="P273" s="259"/>
      <c r="Q273" s="261"/>
      <c r="R273" s="277"/>
      <c r="S273" s="278"/>
      <c r="T273" s="279"/>
      <c r="U273" s="283"/>
      <c r="V273" s="284"/>
      <c r="W273" s="255"/>
      <c r="X273" s="181"/>
    </row>
    <row r="274" spans="1:24" ht="15.75" customHeight="1" x14ac:dyDescent="0.25">
      <c r="A274" s="264"/>
      <c r="B274" s="374"/>
      <c r="C274" s="205"/>
      <c r="D274" s="205"/>
      <c r="E274" s="210"/>
      <c r="F274" s="211"/>
      <c r="G274" s="211"/>
      <c r="H274" s="211"/>
      <c r="I274" s="211"/>
      <c r="J274" s="204"/>
      <c r="K274" s="204"/>
      <c r="L274" s="205"/>
      <c r="M274" s="185"/>
      <c r="N274" s="185"/>
      <c r="O274" s="185"/>
      <c r="P274" s="185"/>
      <c r="Q274" s="187"/>
      <c r="R274" s="188"/>
      <c r="S274" s="189"/>
      <c r="T274" s="190"/>
      <c r="U274" s="194"/>
      <c r="V274" s="285"/>
      <c r="W274" s="255"/>
      <c r="X274" s="181"/>
    </row>
    <row r="275" spans="1:24" ht="15.75" customHeight="1" x14ac:dyDescent="0.25">
      <c r="A275" s="264"/>
      <c r="B275" s="183"/>
      <c r="C275" s="205"/>
      <c r="D275" s="205"/>
      <c r="E275" s="210"/>
      <c r="F275" s="211"/>
      <c r="G275" s="211"/>
      <c r="H275" s="211"/>
      <c r="I275" s="211"/>
      <c r="J275" s="204"/>
      <c r="K275" s="204"/>
      <c r="L275" s="205"/>
      <c r="M275" s="185"/>
      <c r="N275" s="185"/>
      <c r="O275" s="185"/>
      <c r="P275" s="185"/>
      <c r="Q275" s="187"/>
      <c r="R275" s="188"/>
      <c r="S275" s="189"/>
      <c r="T275" s="190"/>
      <c r="U275" s="194"/>
      <c r="V275" s="285"/>
      <c r="W275" s="255"/>
      <c r="X275" s="181"/>
    </row>
    <row r="276" spans="1:24" ht="15.75" customHeight="1" thickBot="1" x14ac:dyDescent="0.3">
      <c r="A276" s="265"/>
      <c r="B276" s="269"/>
      <c r="C276" s="258"/>
      <c r="D276" s="258"/>
      <c r="E276" s="268"/>
      <c r="F276" s="271"/>
      <c r="G276" s="271"/>
      <c r="H276" s="271"/>
      <c r="I276" s="271"/>
      <c r="J276" s="273"/>
      <c r="K276" s="273"/>
      <c r="L276" s="258"/>
      <c r="M276" s="260"/>
      <c r="N276" s="260"/>
      <c r="O276" s="260"/>
      <c r="P276" s="260"/>
      <c r="Q276" s="262"/>
      <c r="R276" s="280"/>
      <c r="S276" s="281"/>
      <c r="T276" s="282"/>
      <c r="U276" s="286"/>
      <c r="V276" s="287"/>
      <c r="W276" s="256"/>
      <c r="X276" s="182"/>
    </row>
    <row r="277" spans="1:24" ht="15.75" customHeight="1" thickBot="1" x14ac:dyDescent="0.3"/>
    <row r="278" spans="1:24" ht="87.75" customHeight="1" thickBot="1" x14ac:dyDescent="0.3">
      <c r="A278" s="290"/>
      <c r="B278" s="291"/>
      <c r="C278" s="291"/>
      <c r="D278" s="291"/>
      <c r="E278" s="291"/>
      <c r="F278" s="291"/>
      <c r="G278" s="291"/>
      <c r="H278" s="291"/>
      <c r="I278" s="291"/>
      <c r="J278" s="291"/>
      <c r="K278" s="291"/>
      <c r="L278" s="291"/>
      <c r="M278" s="291"/>
      <c r="N278" s="291"/>
      <c r="O278" s="291"/>
      <c r="P278" s="292"/>
      <c r="Q278" s="310"/>
      <c r="R278" s="228"/>
      <c r="S278" s="228"/>
      <c r="T278" s="228"/>
      <c r="U278" s="228"/>
      <c r="V278" s="228"/>
      <c r="W278" s="228"/>
      <c r="X278" s="229"/>
    </row>
    <row r="279" spans="1:24" ht="15.75" customHeight="1" thickBot="1" x14ac:dyDescent="0.3">
      <c r="A279" s="218" t="s">
        <v>281</v>
      </c>
      <c r="B279" s="219"/>
      <c r="C279" s="220" t="s">
        <v>931</v>
      </c>
      <c r="D279" s="221"/>
      <c r="E279" s="221"/>
      <c r="F279" s="221"/>
      <c r="G279" s="221"/>
      <c r="H279" s="221"/>
      <c r="I279" s="222"/>
      <c r="J279" s="223" t="s">
        <v>20</v>
      </c>
      <c r="K279" s="224"/>
      <c r="L279" s="224"/>
      <c r="M279" s="224"/>
      <c r="N279" s="225"/>
      <c r="O279" s="225"/>
      <c r="P279" s="225"/>
      <c r="Q279" s="226"/>
      <c r="R279" s="227" t="s">
        <v>154</v>
      </c>
      <c r="S279" s="228"/>
      <c r="T279" s="228"/>
      <c r="U279" s="228"/>
      <c r="V279" s="228"/>
      <c r="W279" s="228"/>
      <c r="X279" s="229"/>
    </row>
    <row r="280" spans="1:24" ht="15.75" customHeight="1" x14ac:dyDescent="0.25">
      <c r="A280" s="230" t="s">
        <v>0</v>
      </c>
      <c r="B280" s="233" t="s">
        <v>1</v>
      </c>
      <c r="C280" s="235" t="s">
        <v>12</v>
      </c>
      <c r="D280" s="235"/>
      <c r="E280" s="235"/>
      <c r="F280" s="235"/>
      <c r="G280" s="235"/>
      <c r="H280" s="235"/>
      <c r="I280" s="235"/>
      <c r="J280" s="235"/>
      <c r="K280" s="236" t="s">
        <v>13</v>
      </c>
      <c r="L280" s="237"/>
      <c r="M280" s="237"/>
      <c r="N280" s="240" t="s">
        <v>15</v>
      </c>
      <c r="O280" s="240"/>
      <c r="P280" s="240"/>
      <c r="Q280" s="241" t="s">
        <v>4</v>
      </c>
      <c r="R280" s="244" t="s">
        <v>11</v>
      </c>
      <c r="S280" s="244"/>
      <c r="T280" s="244"/>
      <c r="U280" s="244"/>
      <c r="V280" s="244"/>
      <c r="W280" s="246" t="s">
        <v>2</v>
      </c>
      <c r="X280" s="247"/>
    </row>
    <row r="281" spans="1:24" ht="15.75" customHeight="1" x14ac:dyDescent="0.25">
      <c r="A281" s="231"/>
      <c r="B281" s="181"/>
      <c r="C281" s="248" t="s">
        <v>6</v>
      </c>
      <c r="D281" s="248" t="s">
        <v>17</v>
      </c>
      <c r="E281" s="248" t="s">
        <v>5</v>
      </c>
      <c r="F281" s="250"/>
      <c r="G281" s="250"/>
      <c r="H281" s="250"/>
      <c r="I281" s="251" t="s">
        <v>16</v>
      </c>
      <c r="J281" s="350" t="s">
        <v>14</v>
      </c>
      <c r="K281" s="238"/>
      <c r="L281" s="239"/>
      <c r="M281" s="239"/>
      <c r="N281" s="240"/>
      <c r="O281" s="240"/>
      <c r="P281" s="240"/>
      <c r="Q281" s="242"/>
      <c r="R281" s="245"/>
      <c r="S281" s="245"/>
      <c r="T281" s="245"/>
      <c r="U281" s="245"/>
      <c r="V281" s="245"/>
      <c r="W281" s="187"/>
      <c r="X281" s="187"/>
    </row>
    <row r="282" spans="1:24" ht="57" customHeight="1" thickBot="1" x14ac:dyDescent="0.3">
      <c r="A282" s="232"/>
      <c r="B282" s="181"/>
      <c r="C282" s="248"/>
      <c r="D282" s="248"/>
      <c r="E282" s="248"/>
      <c r="F282" s="248"/>
      <c r="G282" s="248"/>
      <c r="H282" s="248"/>
      <c r="I282" s="328"/>
      <c r="J282" s="351"/>
      <c r="K282" s="27" t="s">
        <v>9</v>
      </c>
      <c r="L282" s="27" t="s">
        <v>10</v>
      </c>
      <c r="M282" s="43" t="s">
        <v>3</v>
      </c>
      <c r="N282" s="27" t="s">
        <v>9</v>
      </c>
      <c r="O282" s="27" t="s">
        <v>10</v>
      </c>
      <c r="P282" s="25" t="s">
        <v>3</v>
      </c>
      <c r="Q282" s="321"/>
      <c r="R282" s="322" t="s">
        <v>7</v>
      </c>
      <c r="S282" s="323"/>
      <c r="T282" s="323"/>
      <c r="U282" s="324"/>
      <c r="V282" s="12" t="s">
        <v>8</v>
      </c>
      <c r="W282" s="5">
        <v>1</v>
      </c>
      <c r="X282" s="5">
        <v>2</v>
      </c>
    </row>
    <row r="283" spans="1:24" ht="15.75" customHeight="1" x14ac:dyDescent="0.25">
      <c r="A283" s="38">
        <v>1</v>
      </c>
      <c r="B283" s="131" t="s">
        <v>292</v>
      </c>
      <c r="C283" s="44">
        <v>29</v>
      </c>
      <c r="D283" s="30">
        <v>49</v>
      </c>
      <c r="E283" s="30">
        <v>20</v>
      </c>
      <c r="F283" s="30"/>
      <c r="G283" s="30"/>
      <c r="H283" s="30"/>
      <c r="I283" s="30">
        <v>40</v>
      </c>
      <c r="J283" s="31">
        <f>((AVERAGE(C283:H283))*72%)+I283*8%</f>
        <v>26.719999999999995</v>
      </c>
      <c r="K283" s="30">
        <v>68</v>
      </c>
      <c r="L283" s="30">
        <v>68</v>
      </c>
      <c r="M283" s="31">
        <f>(AVERAGE(K283:L283))*10%</f>
        <v>6.8000000000000007</v>
      </c>
      <c r="N283" s="30">
        <v>66</v>
      </c>
      <c r="O283" s="30">
        <v>66</v>
      </c>
      <c r="P283" s="31">
        <f>(AVERAGE(N283:O283))*10%</f>
        <v>6.6000000000000005</v>
      </c>
      <c r="Q283" s="30"/>
      <c r="R283" s="367" t="str">
        <f>IF(V283&lt;65,"BAJO",IF(V283&lt;=79,"BASICO",IF(V283&lt;=89,"ALTO",IF(V283&lt;=100,"SUPERIOR"))))</f>
        <v>BAJO</v>
      </c>
      <c r="S283" s="368"/>
      <c r="T283" s="368"/>
      <c r="U283" s="376"/>
      <c r="V283" s="51">
        <f>J283+M283+P283</f>
        <v>40.119999999999997</v>
      </c>
      <c r="W283" s="10"/>
      <c r="X283" s="10"/>
    </row>
    <row r="284" spans="1:24" ht="15.75" customHeight="1" x14ac:dyDescent="0.25">
      <c r="A284" s="38">
        <v>2</v>
      </c>
      <c r="B284" s="113" t="s">
        <v>705</v>
      </c>
      <c r="C284" s="45"/>
      <c r="D284" s="8"/>
      <c r="E284" s="8"/>
      <c r="F284" s="8"/>
      <c r="G284" s="8"/>
      <c r="H284" s="8"/>
      <c r="I284" s="9"/>
      <c r="J284" s="15" t="e">
        <f t="shared" ref="J284:J328" si="27">((AVERAGE(C284:H284))*72%)+I284*8%</f>
        <v>#DIV/0!</v>
      </c>
      <c r="K284" s="8"/>
      <c r="L284" s="8"/>
      <c r="M284" s="15" t="e">
        <f t="shared" ref="M284:M328" si="28">(AVERAGE(K284:L284))*10%</f>
        <v>#DIV/0!</v>
      </c>
      <c r="N284" s="8"/>
      <c r="O284" s="8"/>
      <c r="P284" s="15" t="e">
        <f t="shared" ref="P284:P328" si="29">(AVERAGE(N284:O284))*10%</f>
        <v>#DIV/0!</v>
      </c>
      <c r="Q284" s="11"/>
      <c r="R284" s="359" t="e">
        <f t="shared" ref="R284:R328" si="30">IF(V284&lt;65,"BAJO",IF(V284&lt;=79,"BASICO",IF(V284&lt;=89,"ALTO",IF(V284&lt;=100,"SUPERIOR"))))</f>
        <v>#DIV/0!</v>
      </c>
      <c r="S284" s="360"/>
      <c r="T284" s="360"/>
      <c r="U284" s="377"/>
      <c r="V284" s="51" t="e">
        <f t="shared" ref="V284:V328" si="31">J284+M284+P284</f>
        <v>#DIV/0!</v>
      </c>
      <c r="W284" s="10"/>
      <c r="X284" s="10"/>
    </row>
    <row r="285" spans="1:24" ht="15.75" customHeight="1" x14ac:dyDescent="0.25">
      <c r="A285" s="38">
        <v>3</v>
      </c>
      <c r="B285" s="125" t="s">
        <v>706</v>
      </c>
      <c r="C285" s="45">
        <v>85</v>
      </c>
      <c r="D285" s="8">
        <v>90</v>
      </c>
      <c r="E285" s="8">
        <v>97</v>
      </c>
      <c r="F285" s="8"/>
      <c r="G285" s="8"/>
      <c r="H285" s="8"/>
      <c r="I285" s="9">
        <v>67</v>
      </c>
      <c r="J285" s="15">
        <f t="shared" si="27"/>
        <v>70.64</v>
      </c>
      <c r="K285" s="8">
        <v>94</v>
      </c>
      <c r="L285" s="8">
        <v>94</v>
      </c>
      <c r="M285" s="15">
        <f t="shared" si="28"/>
        <v>9.4</v>
      </c>
      <c r="N285" s="8">
        <v>100</v>
      </c>
      <c r="O285" s="8">
        <v>100</v>
      </c>
      <c r="P285" s="15">
        <f t="shared" si="29"/>
        <v>10</v>
      </c>
      <c r="Q285" s="11"/>
      <c r="R285" s="359" t="str">
        <f t="shared" si="30"/>
        <v>SUPERIOR</v>
      </c>
      <c r="S285" s="360"/>
      <c r="T285" s="360"/>
      <c r="U285" s="377"/>
      <c r="V285" s="51">
        <f t="shared" si="31"/>
        <v>90.04</v>
      </c>
      <c r="W285" s="10"/>
      <c r="X285" s="10"/>
    </row>
    <row r="286" spans="1:24" ht="15.75" customHeight="1" x14ac:dyDescent="0.25">
      <c r="A286" s="38">
        <v>4</v>
      </c>
      <c r="B286" s="125" t="s">
        <v>707</v>
      </c>
      <c r="C286" s="45">
        <v>66</v>
      </c>
      <c r="D286" s="8">
        <v>68</v>
      </c>
      <c r="E286" s="8">
        <v>58</v>
      </c>
      <c r="F286" s="8"/>
      <c r="G286" s="8"/>
      <c r="H286" s="8"/>
      <c r="I286" s="8">
        <v>40</v>
      </c>
      <c r="J286" s="15">
        <f t="shared" si="27"/>
        <v>49.28</v>
      </c>
      <c r="K286" s="8">
        <v>76</v>
      </c>
      <c r="L286" s="8">
        <v>76</v>
      </c>
      <c r="M286" s="15">
        <f t="shared" si="28"/>
        <v>7.6000000000000005</v>
      </c>
      <c r="N286" s="8">
        <v>86</v>
      </c>
      <c r="O286" s="8">
        <v>86</v>
      </c>
      <c r="P286" s="15">
        <f t="shared" si="29"/>
        <v>8.6</v>
      </c>
      <c r="Q286" s="11"/>
      <c r="R286" s="359" t="str">
        <f t="shared" si="30"/>
        <v>BASICO</v>
      </c>
      <c r="S286" s="360"/>
      <c r="T286" s="360"/>
      <c r="U286" s="377"/>
      <c r="V286" s="51">
        <f t="shared" si="31"/>
        <v>65.48</v>
      </c>
      <c r="W286" s="10"/>
      <c r="X286" s="10"/>
    </row>
    <row r="287" spans="1:24" ht="15.75" customHeight="1" x14ac:dyDescent="0.25">
      <c r="A287" s="38">
        <v>5</v>
      </c>
      <c r="B287" s="125" t="s">
        <v>708</v>
      </c>
      <c r="C287" s="45">
        <v>84</v>
      </c>
      <c r="D287" s="8">
        <v>65</v>
      </c>
      <c r="E287" s="8">
        <v>53</v>
      </c>
      <c r="F287" s="8"/>
      <c r="G287" s="8"/>
      <c r="H287" s="8"/>
      <c r="I287" s="8">
        <v>40</v>
      </c>
      <c r="J287" s="15">
        <f t="shared" si="27"/>
        <v>51.68</v>
      </c>
      <c r="K287" s="8">
        <v>88</v>
      </c>
      <c r="L287" s="8">
        <v>88</v>
      </c>
      <c r="M287" s="15">
        <f t="shared" si="28"/>
        <v>8.8000000000000007</v>
      </c>
      <c r="N287" s="8">
        <v>91</v>
      </c>
      <c r="O287" s="8">
        <v>91</v>
      </c>
      <c r="P287" s="15">
        <f t="shared" si="29"/>
        <v>9.1</v>
      </c>
      <c r="Q287" s="10"/>
      <c r="R287" s="359" t="str">
        <f t="shared" si="30"/>
        <v>BASICO</v>
      </c>
      <c r="S287" s="360"/>
      <c r="T287" s="360"/>
      <c r="U287" s="377"/>
      <c r="V287" s="51">
        <f t="shared" si="31"/>
        <v>69.58</v>
      </c>
      <c r="W287" s="10"/>
      <c r="X287" s="10"/>
    </row>
    <row r="288" spans="1:24" ht="15.75" customHeight="1" x14ac:dyDescent="0.25">
      <c r="A288" s="38">
        <v>6</v>
      </c>
      <c r="B288" s="125" t="s">
        <v>709</v>
      </c>
      <c r="C288" s="45">
        <v>89</v>
      </c>
      <c r="D288" s="8">
        <v>66</v>
      </c>
      <c r="E288" s="8">
        <v>26</v>
      </c>
      <c r="F288" s="8"/>
      <c r="G288" s="8"/>
      <c r="H288" s="8"/>
      <c r="I288" s="8">
        <v>40</v>
      </c>
      <c r="J288" s="15">
        <f t="shared" si="27"/>
        <v>46.64</v>
      </c>
      <c r="K288" s="8">
        <v>98</v>
      </c>
      <c r="L288" s="8">
        <v>98</v>
      </c>
      <c r="M288" s="15">
        <f t="shared" si="28"/>
        <v>9.8000000000000007</v>
      </c>
      <c r="N288" s="8">
        <v>89</v>
      </c>
      <c r="O288" s="8">
        <v>89</v>
      </c>
      <c r="P288" s="15">
        <f t="shared" si="29"/>
        <v>8.9</v>
      </c>
      <c r="Q288" s="10"/>
      <c r="R288" s="359" t="str">
        <f t="shared" si="30"/>
        <v>BASICO</v>
      </c>
      <c r="S288" s="360"/>
      <c r="T288" s="360"/>
      <c r="U288" s="377"/>
      <c r="V288" s="51">
        <f t="shared" si="31"/>
        <v>65.34</v>
      </c>
      <c r="W288" s="10"/>
      <c r="X288" s="10"/>
    </row>
    <row r="289" spans="1:24" ht="15.75" customHeight="1" x14ac:dyDescent="0.25">
      <c r="A289" s="38">
        <v>7</v>
      </c>
      <c r="B289" s="125" t="s">
        <v>710</v>
      </c>
      <c r="C289" s="45">
        <v>48</v>
      </c>
      <c r="D289" s="8">
        <v>21</v>
      </c>
      <c r="E289" s="8">
        <v>98</v>
      </c>
      <c r="F289" s="8"/>
      <c r="G289" s="8"/>
      <c r="H289" s="8"/>
      <c r="I289" s="8">
        <v>67</v>
      </c>
      <c r="J289" s="15">
        <f t="shared" si="27"/>
        <v>45.44</v>
      </c>
      <c r="K289" s="8">
        <v>99</v>
      </c>
      <c r="L289" s="8">
        <v>99</v>
      </c>
      <c r="M289" s="15">
        <f t="shared" si="28"/>
        <v>9.9</v>
      </c>
      <c r="N289" s="8">
        <v>97</v>
      </c>
      <c r="O289" s="8">
        <v>97</v>
      </c>
      <c r="P289" s="15">
        <f t="shared" si="29"/>
        <v>9.7000000000000011</v>
      </c>
      <c r="Q289" s="10"/>
      <c r="R289" s="359" t="str">
        <f t="shared" si="30"/>
        <v>BASICO</v>
      </c>
      <c r="S289" s="360"/>
      <c r="T289" s="360"/>
      <c r="U289" s="377"/>
      <c r="V289" s="51">
        <f t="shared" si="31"/>
        <v>65.039999999999992</v>
      </c>
      <c r="W289" s="10"/>
      <c r="X289" s="10"/>
    </row>
    <row r="290" spans="1:24" ht="15.75" customHeight="1" x14ac:dyDescent="0.25">
      <c r="A290" s="38">
        <v>8</v>
      </c>
      <c r="B290" s="67" t="s">
        <v>615</v>
      </c>
      <c r="C290" s="45">
        <v>95</v>
      </c>
      <c r="D290" s="8">
        <v>87</v>
      </c>
      <c r="E290" s="8">
        <v>98</v>
      </c>
      <c r="F290" s="8"/>
      <c r="G290" s="8"/>
      <c r="H290" s="8"/>
      <c r="I290" s="8">
        <v>55</v>
      </c>
      <c r="J290" s="15">
        <f t="shared" si="27"/>
        <v>71.599999999999994</v>
      </c>
      <c r="K290" s="8">
        <v>89</v>
      </c>
      <c r="L290" s="8">
        <v>89</v>
      </c>
      <c r="M290" s="15">
        <f t="shared" si="28"/>
        <v>8.9</v>
      </c>
      <c r="N290" s="8">
        <v>90</v>
      </c>
      <c r="O290" s="8">
        <v>90</v>
      </c>
      <c r="P290" s="15">
        <f t="shared" si="29"/>
        <v>9</v>
      </c>
      <c r="Q290" s="10"/>
      <c r="R290" s="359" t="str">
        <f t="shared" si="30"/>
        <v>SUPERIOR</v>
      </c>
      <c r="S290" s="360"/>
      <c r="T290" s="360"/>
      <c r="U290" s="377"/>
      <c r="V290" s="51">
        <f t="shared" si="31"/>
        <v>89.5</v>
      </c>
      <c r="W290" s="10"/>
      <c r="X290" s="10"/>
    </row>
    <row r="291" spans="1:24" ht="15.75" customHeight="1" x14ac:dyDescent="0.25">
      <c r="A291" s="38">
        <v>9</v>
      </c>
      <c r="B291" s="125" t="s">
        <v>712</v>
      </c>
      <c r="C291" s="45">
        <v>32</v>
      </c>
      <c r="D291" s="8">
        <v>23</v>
      </c>
      <c r="E291" s="8">
        <v>78</v>
      </c>
      <c r="F291" s="8"/>
      <c r="G291" s="8"/>
      <c r="H291" s="8"/>
      <c r="I291" s="8">
        <v>40</v>
      </c>
      <c r="J291" s="15">
        <f t="shared" si="27"/>
        <v>35.120000000000005</v>
      </c>
      <c r="K291" s="8">
        <v>70</v>
      </c>
      <c r="L291" s="8">
        <v>70</v>
      </c>
      <c r="M291" s="15">
        <f t="shared" si="28"/>
        <v>7</v>
      </c>
      <c r="N291" s="8">
        <v>79</v>
      </c>
      <c r="O291" s="8">
        <v>79</v>
      </c>
      <c r="P291" s="15">
        <f t="shared" si="29"/>
        <v>7.9</v>
      </c>
      <c r="Q291" s="10"/>
      <c r="R291" s="359" t="str">
        <f t="shared" si="30"/>
        <v>BAJO</v>
      </c>
      <c r="S291" s="360"/>
      <c r="T291" s="360"/>
      <c r="U291" s="377"/>
      <c r="V291" s="51">
        <f t="shared" si="31"/>
        <v>50.02</v>
      </c>
      <c r="W291" s="10"/>
      <c r="X291" s="10"/>
    </row>
    <row r="292" spans="1:24" ht="15.75" customHeight="1" x14ac:dyDescent="0.25">
      <c r="A292" s="38">
        <v>10</v>
      </c>
      <c r="B292" s="125" t="s">
        <v>300</v>
      </c>
      <c r="C292" s="45">
        <v>72</v>
      </c>
      <c r="D292" s="8">
        <v>99</v>
      </c>
      <c r="E292" s="8">
        <v>63</v>
      </c>
      <c r="F292" s="8"/>
      <c r="G292" s="8"/>
      <c r="H292" s="8"/>
      <c r="I292" s="8">
        <v>40</v>
      </c>
      <c r="J292" s="15">
        <f t="shared" si="27"/>
        <v>59.36</v>
      </c>
      <c r="K292" s="8">
        <v>95</v>
      </c>
      <c r="L292" s="8">
        <v>95</v>
      </c>
      <c r="M292" s="15">
        <f t="shared" si="28"/>
        <v>9.5</v>
      </c>
      <c r="N292" s="8">
        <v>96</v>
      </c>
      <c r="O292" s="8">
        <v>96</v>
      </c>
      <c r="P292" s="15">
        <f t="shared" si="29"/>
        <v>9.6000000000000014</v>
      </c>
      <c r="Q292" s="10"/>
      <c r="R292" s="359" t="str">
        <f t="shared" si="30"/>
        <v>BASICO</v>
      </c>
      <c r="S292" s="360"/>
      <c r="T292" s="360"/>
      <c r="U292" s="377"/>
      <c r="V292" s="51">
        <f t="shared" si="31"/>
        <v>78.460000000000008</v>
      </c>
      <c r="W292" s="10"/>
      <c r="X292" s="10"/>
    </row>
    <row r="293" spans="1:24" ht="15.75" customHeight="1" x14ac:dyDescent="0.25">
      <c r="A293" s="38">
        <v>11</v>
      </c>
      <c r="B293" s="125" t="s">
        <v>713</v>
      </c>
      <c r="C293" s="45">
        <v>94</v>
      </c>
      <c r="D293" s="8">
        <v>85</v>
      </c>
      <c r="E293" s="8">
        <v>83</v>
      </c>
      <c r="F293" s="8"/>
      <c r="G293" s="8"/>
      <c r="H293" s="8"/>
      <c r="I293" s="8">
        <v>85</v>
      </c>
      <c r="J293" s="15">
        <f t="shared" si="27"/>
        <v>69.679999999999993</v>
      </c>
      <c r="K293" s="8">
        <v>88</v>
      </c>
      <c r="L293" s="8">
        <v>88</v>
      </c>
      <c r="M293" s="15">
        <f t="shared" si="28"/>
        <v>8.8000000000000007</v>
      </c>
      <c r="N293" s="8">
        <v>68</v>
      </c>
      <c r="O293" s="8">
        <v>68</v>
      </c>
      <c r="P293" s="15">
        <f t="shared" si="29"/>
        <v>6.8000000000000007</v>
      </c>
      <c r="Q293" s="10"/>
      <c r="R293" s="359" t="str">
        <f t="shared" si="30"/>
        <v>ALTO</v>
      </c>
      <c r="S293" s="360"/>
      <c r="T293" s="360"/>
      <c r="U293" s="377"/>
      <c r="V293" s="51">
        <f t="shared" si="31"/>
        <v>85.279999999999987</v>
      </c>
      <c r="W293" s="10"/>
      <c r="X293" s="10"/>
    </row>
    <row r="294" spans="1:24" ht="15.75" customHeight="1" x14ac:dyDescent="0.25">
      <c r="A294" s="38">
        <v>12</v>
      </c>
      <c r="B294" s="67" t="s">
        <v>577</v>
      </c>
      <c r="C294" s="45">
        <v>55</v>
      </c>
      <c r="D294" s="8">
        <v>45</v>
      </c>
      <c r="E294" s="8">
        <v>54</v>
      </c>
      <c r="F294" s="8"/>
      <c r="G294" s="8"/>
      <c r="H294" s="8"/>
      <c r="I294" s="8">
        <v>55</v>
      </c>
      <c r="J294" s="15">
        <f t="shared" si="27"/>
        <v>41.36</v>
      </c>
      <c r="K294" s="8">
        <v>88</v>
      </c>
      <c r="L294" s="8">
        <v>88</v>
      </c>
      <c r="M294" s="15">
        <f t="shared" si="28"/>
        <v>8.8000000000000007</v>
      </c>
      <c r="N294" s="8">
        <v>98</v>
      </c>
      <c r="O294" s="8">
        <v>98</v>
      </c>
      <c r="P294" s="15">
        <f t="shared" si="29"/>
        <v>9.8000000000000007</v>
      </c>
      <c r="Q294" s="10"/>
      <c r="R294" s="359" t="str">
        <f t="shared" si="30"/>
        <v>BAJO</v>
      </c>
      <c r="S294" s="360"/>
      <c r="T294" s="360"/>
      <c r="U294" s="377"/>
      <c r="V294" s="51">
        <f t="shared" si="31"/>
        <v>59.959999999999994</v>
      </c>
      <c r="W294" s="10"/>
      <c r="X294" s="10"/>
    </row>
    <row r="295" spans="1:24" ht="15.75" customHeight="1" x14ac:dyDescent="0.25">
      <c r="A295" s="38">
        <v>13</v>
      </c>
      <c r="B295" s="125" t="s">
        <v>714</v>
      </c>
      <c r="C295" s="45">
        <v>82</v>
      </c>
      <c r="D295" s="8">
        <v>76</v>
      </c>
      <c r="E295" s="8">
        <v>39</v>
      </c>
      <c r="F295" s="8"/>
      <c r="G295" s="8"/>
      <c r="H295" s="8"/>
      <c r="I295" s="8">
        <v>55</v>
      </c>
      <c r="J295" s="15">
        <f t="shared" si="27"/>
        <v>51.68</v>
      </c>
      <c r="K295" s="8">
        <v>74</v>
      </c>
      <c r="L295" s="8">
        <v>74</v>
      </c>
      <c r="M295" s="15">
        <f t="shared" si="28"/>
        <v>7.4</v>
      </c>
      <c r="N295" s="8">
        <v>91</v>
      </c>
      <c r="O295" s="8">
        <v>91</v>
      </c>
      <c r="P295" s="15">
        <f t="shared" si="29"/>
        <v>9.1</v>
      </c>
      <c r="Q295" s="10"/>
      <c r="R295" s="359" t="str">
        <f t="shared" si="30"/>
        <v>BASICO</v>
      </c>
      <c r="S295" s="360"/>
      <c r="T295" s="360"/>
      <c r="U295" s="377"/>
      <c r="V295" s="51">
        <f t="shared" si="31"/>
        <v>68.179999999999993</v>
      </c>
      <c r="W295" s="10"/>
      <c r="X295" s="10"/>
    </row>
    <row r="296" spans="1:24" ht="15.75" customHeight="1" x14ac:dyDescent="0.25">
      <c r="A296" s="38">
        <v>14</v>
      </c>
      <c r="B296" s="125" t="s">
        <v>715</v>
      </c>
      <c r="C296" s="45">
        <v>95</v>
      </c>
      <c r="D296" s="8">
        <v>47</v>
      </c>
      <c r="E296" s="8">
        <v>84</v>
      </c>
      <c r="F296" s="8"/>
      <c r="G296" s="8"/>
      <c r="H296" s="8"/>
      <c r="I296" s="8">
        <v>40</v>
      </c>
      <c r="J296" s="15">
        <f t="shared" si="27"/>
        <v>57.44</v>
      </c>
      <c r="K296" s="8">
        <v>91</v>
      </c>
      <c r="L296" s="8">
        <v>91</v>
      </c>
      <c r="M296" s="15">
        <f t="shared" si="28"/>
        <v>9.1</v>
      </c>
      <c r="N296" s="8">
        <v>88</v>
      </c>
      <c r="O296" s="8">
        <v>88</v>
      </c>
      <c r="P296" s="15">
        <f t="shared" si="29"/>
        <v>8.8000000000000007</v>
      </c>
      <c r="Q296" s="10"/>
      <c r="R296" s="359" t="str">
        <f t="shared" si="30"/>
        <v>BASICO</v>
      </c>
      <c r="S296" s="360"/>
      <c r="T296" s="360"/>
      <c r="U296" s="377"/>
      <c r="V296" s="51">
        <f t="shared" si="31"/>
        <v>75.339999999999989</v>
      </c>
      <c r="W296" s="10"/>
      <c r="X296" s="10"/>
    </row>
    <row r="297" spans="1:24" ht="15.75" customHeight="1" x14ac:dyDescent="0.25">
      <c r="A297" s="38">
        <v>15</v>
      </c>
      <c r="B297" s="125" t="s">
        <v>716</v>
      </c>
      <c r="C297" s="45"/>
      <c r="D297" s="8"/>
      <c r="E297" s="8"/>
      <c r="F297" s="8"/>
      <c r="G297" s="8"/>
      <c r="H297" s="8"/>
      <c r="I297" s="8"/>
      <c r="J297" s="15" t="e">
        <f t="shared" si="27"/>
        <v>#DIV/0!</v>
      </c>
      <c r="K297" s="8"/>
      <c r="L297" s="8"/>
      <c r="M297" s="15" t="e">
        <f t="shared" si="28"/>
        <v>#DIV/0!</v>
      </c>
      <c r="N297" s="8"/>
      <c r="O297" s="8"/>
      <c r="P297" s="15" t="e">
        <f t="shared" si="29"/>
        <v>#DIV/0!</v>
      </c>
      <c r="Q297" s="10"/>
      <c r="R297" s="359" t="e">
        <f t="shared" si="30"/>
        <v>#DIV/0!</v>
      </c>
      <c r="S297" s="360"/>
      <c r="T297" s="360"/>
      <c r="U297" s="377"/>
      <c r="V297" s="51" t="e">
        <f t="shared" si="31"/>
        <v>#DIV/0!</v>
      </c>
      <c r="W297" s="10"/>
      <c r="X297" s="10"/>
    </row>
    <row r="298" spans="1:24" ht="15.75" customHeight="1" x14ac:dyDescent="0.25">
      <c r="A298" s="38">
        <v>16</v>
      </c>
      <c r="B298" s="125" t="s">
        <v>302</v>
      </c>
      <c r="C298" s="45">
        <v>53</v>
      </c>
      <c r="D298" s="8">
        <v>80</v>
      </c>
      <c r="E298" s="8">
        <v>37</v>
      </c>
      <c r="F298" s="8"/>
      <c r="G298" s="8"/>
      <c r="H298" s="8"/>
      <c r="I298" s="8">
        <v>60</v>
      </c>
      <c r="J298" s="15">
        <f t="shared" si="27"/>
        <v>45.599999999999994</v>
      </c>
      <c r="K298" s="8">
        <v>70</v>
      </c>
      <c r="L298" s="8">
        <v>70</v>
      </c>
      <c r="M298" s="15">
        <f t="shared" si="28"/>
        <v>7</v>
      </c>
      <c r="N298" s="8">
        <v>79</v>
      </c>
      <c r="O298" s="8">
        <v>79</v>
      </c>
      <c r="P298" s="15">
        <f t="shared" si="29"/>
        <v>7.9</v>
      </c>
      <c r="Q298" s="10"/>
      <c r="R298" s="359" t="str">
        <f t="shared" si="30"/>
        <v>BAJO</v>
      </c>
      <c r="S298" s="360"/>
      <c r="T298" s="360"/>
      <c r="U298" s="377"/>
      <c r="V298" s="51">
        <f t="shared" si="31"/>
        <v>60.499999999999993</v>
      </c>
      <c r="W298" s="10"/>
      <c r="X298" s="10"/>
    </row>
    <row r="299" spans="1:24" ht="15.75" customHeight="1" x14ac:dyDescent="0.25">
      <c r="A299" s="38">
        <v>17</v>
      </c>
      <c r="B299" s="68" t="s">
        <v>582</v>
      </c>
      <c r="C299" s="45">
        <v>100</v>
      </c>
      <c r="D299" s="8">
        <v>100</v>
      </c>
      <c r="E299" s="8">
        <v>100</v>
      </c>
      <c r="F299" s="8"/>
      <c r="G299" s="8"/>
      <c r="H299" s="8"/>
      <c r="I299" s="13">
        <v>85</v>
      </c>
      <c r="J299" s="15">
        <f t="shared" si="27"/>
        <v>78.8</v>
      </c>
      <c r="K299" s="8">
        <v>65</v>
      </c>
      <c r="L299" s="8">
        <v>65</v>
      </c>
      <c r="M299" s="15">
        <f t="shared" si="28"/>
        <v>6.5</v>
      </c>
      <c r="N299" s="8">
        <v>65</v>
      </c>
      <c r="O299" s="8">
        <v>65</v>
      </c>
      <c r="P299" s="15">
        <f t="shared" si="29"/>
        <v>6.5</v>
      </c>
      <c r="Q299" s="10"/>
      <c r="R299" s="359" t="str">
        <f t="shared" si="30"/>
        <v>SUPERIOR</v>
      </c>
      <c r="S299" s="360"/>
      <c r="T299" s="360"/>
      <c r="U299" s="377"/>
      <c r="V299" s="51">
        <f t="shared" si="31"/>
        <v>91.8</v>
      </c>
      <c r="W299" s="10"/>
      <c r="X299" s="10"/>
    </row>
    <row r="300" spans="1:24" ht="15.75" customHeight="1" x14ac:dyDescent="0.25">
      <c r="A300" s="38">
        <v>18</v>
      </c>
      <c r="B300" s="125" t="s">
        <v>329</v>
      </c>
      <c r="C300" s="45">
        <v>79</v>
      </c>
      <c r="D300" s="8">
        <v>73</v>
      </c>
      <c r="E300" s="8">
        <v>29</v>
      </c>
      <c r="F300" s="8"/>
      <c r="G300" s="8"/>
      <c r="H300" s="8"/>
      <c r="I300" s="8">
        <v>40</v>
      </c>
      <c r="J300" s="15">
        <f t="shared" si="27"/>
        <v>46.64</v>
      </c>
      <c r="K300" s="8">
        <v>98</v>
      </c>
      <c r="L300" s="8">
        <v>98</v>
      </c>
      <c r="M300" s="15">
        <f t="shared" si="28"/>
        <v>9.8000000000000007</v>
      </c>
      <c r="N300" s="8">
        <v>88</v>
      </c>
      <c r="O300" s="8">
        <v>88</v>
      </c>
      <c r="P300" s="15">
        <f t="shared" si="29"/>
        <v>8.8000000000000007</v>
      </c>
      <c r="Q300" s="10"/>
      <c r="R300" s="359" t="str">
        <f t="shared" si="30"/>
        <v>BASICO</v>
      </c>
      <c r="S300" s="360"/>
      <c r="T300" s="360"/>
      <c r="U300" s="377"/>
      <c r="V300" s="51">
        <f t="shared" si="31"/>
        <v>65.239999999999995</v>
      </c>
      <c r="W300" s="10"/>
      <c r="X300" s="10"/>
    </row>
    <row r="301" spans="1:24" ht="15.75" customHeight="1" x14ac:dyDescent="0.25">
      <c r="A301" s="38">
        <v>19</v>
      </c>
      <c r="B301" s="125" t="s">
        <v>313</v>
      </c>
      <c r="C301" s="45">
        <v>69</v>
      </c>
      <c r="D301" s="8">
        <v>93</v>
      </c>
      <c r="E301" s="8">
        <v>62</v>
      </c>
      <c r="F301" s="8"/>
      <c r="G301" s="8"/>
      <c r="H301" s="8"/>
      <c r="I301" s="8">
        <v>67</v>
      </c>
      <c r="J301" s="15">
        <f t="shared" si="27"/>
        <v>59.12</v>
      </c>
      <c r="K301" s="8">
        <v>76</v>
      </c>
      <c r="L301" s="8">
        <v>76</v>
      </c>
      <c r="M301" s="15">
        <f t="shared" si="28"/>
        <v>7.6000000000000005</v>
      </c>
      <c r="N301" s="8">
        <v>79</v>
      </c>
      <c r="O301" s="8">
        <v>79</v>
      </c>
      <c r="P301" s="15">
        <f t="shared" si="29"/>
        <v>7.9</v>
      </c>
      <c r="Q301" s="10"/>
      <c r="R301" s="359" t="str">
        <f t="shared" si="30"/>
        <v>BASICO</v>
      </c>
      <c r="S301" s="360"/>
      <c r="T301" s="360"/>
      <c r="U301" s="377"/>
      <c r="V301" s="51">
        <f t="shared" si="31"/>
        <v>74.62</v>
      </c>
      <c r="W301" s="10"/>
      <c r="X301" s="10"/>
    </row>
    <row r="302" spans="1:24" ht="15.75" customHeight="1" x14ac:dyDescent="0.25">
      <c r="A302" s="38">
        <v>20</v>
      </c>
      <c r="B302" s="125" t="s">
        <v>717</v>
      </c>
      <c r="C302" s="45">
        <v>76</v>
      </c>
      <c r="D302" s="8">
        <v>38</v>
      </c>
      <c r="E302" s="8">
        <v>73</v>
      </c>
      <c r="F302" s="8"/>
      <c r="G302" s="8"/>
      <c r="H302" s="8"/>
      <c r="I302" s="8">
        <v>40</v>
      </c>
      <c r="J302" s="15">
        <f t="shared" si="27"/>
        <v>48.080000000000005</v>
      </c>
      <c r="K302" s="8">
        <v>85</v>
      </c>
      <c r="L302" s="8">
        <v>85</v>
      </c>
      <c r="M302" s="15">
        <f t="shared" si="28"/>
        <v>8.5</v>
      </c>
      <c r="N302" s="8">
        <v>83</v>
      </c>
      <c r="O302" s="8">
        <v>83</v>
      </c>
      <c r="P302" s="15">
        <f t="shared" si="29"/>
        <v>8.3000000000000007</v>
      </c>
      <c r="Q302" s="10"/>
      <c r="R302" s="359" t="str">
        <f t="shared" si="30"/>
        <v>BAJO</v>
      </c>
      <c r="S302" s="360"/>
      <c r="T302" s="360"/>
      <c r="U302" s="377"/>
      <c r="V302" s="51">
        <f t="shared" si="31"/>
        <v>64.88000000000001</v>
      </c>
      <c r="W302" s="10"/>
      <c r="X302" s="10"/>
    </row>
    <row r="303" spans="1:24" ht="15.75" customHeight="1" x14ac:dyDescent="0.25">
      <c r="A303" s="38">
        <v>21</v>
      </c>
      <c r="B303" s="125" t="s">
        <v>718</v>
      </c>
      <c r="C303" s="45">
        <v>100</v>
      </c>
      <c r="D303" s="8">
        <v>100</v>
      </c>
      <c r="E303" s="8">
        <v>100</v>
      </c>
      <c r="F303" s="8"/>
      <c r="G303" s="8"/>
      <c r="H303" s="8"/>
      <c r="I303" s="8">
        <v>60</v>
      </c>
      <c r="J303" s="15">
        <f t="shared" si="27"/>
        <v>76.8</v>
      </c>
      <c r="K303" s="8">
        <v>65</v>
      </c>
      <c r="L303" s="8">
        <v>65</v>
      </c>
      <c r="M303" s="15">
        <f t="shared" si="28"/>
        <v>6.5</v>
      </c>
      <c r="N303" s="8">
        <v>65</v>
      </c>
      <c r="O303" s="8">
        <v>65</v>
      </c>
      <c r="P303" s="15">
        <f t="shared" si="29"/>
        <v>6.5</v>
      </c>
      <c r="Q303" s="10"/>
      <c r="R303" s="359" t="str">
        <f t="shared" si="30"/>
        <v>SUPERIOR</v>
      </c>
      <c r="S303" s="360"/>
      <c r="T303" s="360"/>
      <c r="U303" s="377"/>
      <c r="V303" s="51">
        <f t="shared" si="31"/>
        <v>89.8</v>
      </c>
      <c r="W303" s="10"/>
      <c r="X303" s="10"/>
    </row>
    <row r="304" spans="1:24" ht="15.75" customHeight="1" x14ac:dyDescent="0.25">
      <c r="A304" s="38">
        <v>22</v>
      </c>
      <c r="B304" s="125" t="s">
        <v>290</v>
      </c>
      <c r="C304" s="45">
        <v>45</v>
      </c>
      <c r="D304" s="8">
        <v>90</v>
      </c>
      <c r="E304" s="8">
        <v>42</v>
      </c>
      <c r="F304" s="8"/>
      <c r="G304" s="8"/>
      <c r="H304" s="8"/>
      <c r="I304" s="8">
        <v>40</v>
      </c>
      <c r="J304" s="15">
        <f t="shared" si="27"/>
        <v>45.68</v>
      </c>
      <c r="K304" s="8">
        <v>98</v>
      </c>
      <c r="L304" s="8">
        <v>98</v>
      </c>
      <c r="M304" s="15">
        <f t="shared" si="28"/>
        <v>9.8000000000000007</v>
      </c>
      <c r="N304" s="8">
        <v>95</v>
      </c>
      <c r="O304" s="8">
        <v>95</v>
      </c>
      <c r="P304" s="15">
        <f t="shared" si="29"/>
        <v>9.5</v>
      </c>
      <c r="Q304" s="10"/>
      <c r="R304" s="359" t="str">
        <f t="shared" si="30"/>
        <v>BAJO</v>
      </c>
      <c r="S304" s="360"/>
      <c r="T304" s="360"/>
      <c r="U304" s="377"/>
      <c r="V304" s="51">
        <f t="shared" si="31"/>
        <v>64.98</v>
      </c>
      <c r="W304" s="10"/>
      <c r="X304" s="10"/>
    </row>
    <row r="305" spans="1:24" ht="15.75" customHeight="1" x14ac:dyDescent="0.25">
      <c r="A305" s="38">
        <v>23</v>
      </c>
      <c r="B305" s="67" t="s">
        <v>593</v>
      </c>
      <c r="C305" s="45">
        <v>100</v>
      </c>
      <c r="D305" s="8">
        <v>100</v>
      </c>
      <c r="E305" s="8">
        <v>100</v>
      </c>
      <c r="F305" s="8"/>
      <c r="G305" s="8"/>
      <c r="H305" s="8"/>
      <c r="I305" s="8">
        <v>85</v>
      </c>
      <c r="J305" s="15">
        <f t="shared" si="27"/>
        <v>78.8</v>
      </c>
      <c r="K305" s="8">
        <v>65</v>
      </c>
      <c r="L305" s="8">
        <v>65</v>
      </c>
      <c r="M305" s="15">
        <f t="shared" si="28"/>
        <v>6.5</v>
      </c>
      <c r="N305" s="8">
        <v>65</v>
      </c>
      <c r="O305" s="8">
        <v>65</v>
      </c>
      <c r="P305" s="15">
        <f t="shared" si="29"/>
        <v>6.5</v>
      </c>
      <c r="Q305" s="10"/>
      <c r="R305" s="359" t="str">
        <f t="shared" si="30"/>
        <v>SUPERIOR</v>
      </c>
      <c r="S305" s="360"/>
      <c r="T305" s="360"/>
      <c r="U305" s="377"/>
      <c r="V305" s="51">
        <f t="shared" si="31"/>
        <v>91.8</v>
      </c>
      <c r="W305" s="10"/>
      <c r="X305" s="10"/>
    </row>
    <row r="306" spans="1:24" ht="15.75" customHeight="1" x14ac:dyDescent="0.25">
      <c r="A306" s="38">
        <v>24</v>
      </c>
      <c r="B306" s="125" t="s">
        <v>337</v>
      </c>
      <c r="C306" s="45">
        <v>85</v>
      </c>
      <c r="D306" s="8">
        <v>47</v>
      </c>
      <c r="E306" s="8">
        <v>58</v>
      </c>
      <c r="F306" s="8"/>
      <c r="G306" s="8"/>
      <c r="H306" s="8"/>
      <c r="I306" s="8">
        <v>60</v>
      </c>
      <c r="J306" s="15">
        <f t="shared" si="27"/>
        <v>50.4</v>
      </c>
      <c r="K306" s="8">
        <v>68</v>
      </c>
      <c r="L306" s="8">
        <v>68</v>
      </c>
      <c r="M306" s="15">
        <f t="shared" si="28"/>
        <v>6.8000000000000007</v>
      </c>
      <c r="N306" s="8">
        <v>77</v>
      </c>
      <c r="O306" s="8">
        <v>77</v>
      </c>
      <c r="P306" s="15">
        <f t="shared" si="29"/>
        <v>7.7</v>
      </c>
      <c r="Q306" s="10"/>
      <c r="R306" s="359" t="str">
        <f t="shared" si="30"/>
        <v>BAJO</v>
      </c>
      <c r="S306" s="360"/>
      <c r="T306" s="360"/>
      <c r="U306" s="377"/>
      <c r="V306" s="51">
        <f t="shared" si="31"/>
        <v>64.900000000000006</v>
      </c>
      <c r="W306" s="10"/>
      <c r="X306" s="10"/>
    </row>
    <row r="307" spans="1:24" ht="15.75" customHeight="1" x14ac:dyDescent="0.25">
      <c r="A307" s="38">
        <v>25</v>
      </c>
      <c r="B307" s="125" t="s">
        <v>719</v>
      </c>
      <c r="C307" s="45">
        <v>98</v>
      </c>
      <c r="D307" s="8">
        <v>72</v>
      </c>
      <c r="E307" s="8">
        <v>31</v>
      </c>
      <c r="F307" s="8"/>
      <c r="G307" s="8"/>
      <c r="H307" s="8"/>
      <c r="I307" s="8">
        <v>60</v>
      </c>
      <c r="J307" s="15">
        <f t="shared" si="27"/>
        <v>53.039999999999992</v>
      </c>
      <c r="K307" s="8">
        <v>72</v>
      </c>
      <c r="L307" s="8">
        <v>72</v>
      </c>
      <c r="M307" s="15">
        <f t="shared" si="28"/>
        <v>7.2</v>
      </c>
      <c r="N307" s="8">
        <v>93</v>
      </c>
      <c r="O307" s="8">
        <v>93</v>
      </c>
      <c r="P307" s="15">
        <f t="shared" si="29"/>
        <v>9.3000000000000007</v>
      </c>
      <c r="Q307" s="10"/>
      <c r="R307" s="359" t="str">
        <f t="shared" si="30"/>
        <v>BASICO</v>
      </c>
      <c r="S307" s="360"/>
      <c r="T307" s="360"/>
      <c r="U307" s="377"/>
      <c r="V307" s="51">
        <f t="shared" si="31"/>
        <v>69.539999999999992</v>
      </c>
      <c r="W307" s="10"/>
      <c r="X307" s="10"/>
    </row>
    <row r="308" spans="1:24" ht="15.75" customHeight="1" x14ac:dyDescent="0.25">
      <c r="A308" s="38">
        <v>26</v>
      </c>
      <c r="B308" s="125" t="s">
        <v>720</v>
      </c>
      <c r="C308" s="45">
        <v>86</v>
      </c>
      <c r="D308" s="8">
        <v>88</v>
      </c>
      <c r="E308" s="8">
        <v>74</v>
      </c>
      <c r="F308" s="8"/>
      <c r="G308" s="8"/>
      <c r="H308" s="8"/>
      <c r="I308" s="8">
        <v>40</v>
      </c>
      <c r="J308" s="15">
        <f t="shared" si="27"/>
        <v>62.720000000000006</v>
      </c>
      <c r="K308" s="8">
        <v>88</v>
      </c>
      <c r="L308" s="8">
        <v>88</v>
      </c>
      <c r="M308" s="15">
        <f t="shared" si="28"/>
        <v>8.8000000000000007</v>
      </c>
      <c r="N308" s="8">
        <v>89</v>
      </c>
      <c r="O308" s="8">
        <v>89</v>
      </c>
      <c r="P308" s="15">
        <f t="shared" si="29"/>
        <v>8.9</v>
      </c>
      <c r="Q308" s="10"/>
      <c r="R308" s="359" t="str">
        <f t="shared" si="30"/>
        <v>ALTO</v>
      </c>
      <c r="S308" s="360"/>
      <c r="T308" s="360"/>
      <c r="U308" s="377"/>
      <c r="V308" s="51">
        <f t="shared" si="31"/>
        <v>80.420000000000016</v>
      </c>
      <c r="W308" s="10"/>
      <c r="X308" s="10"/>
    </row>
    <row r="309" spans="1:24" ht="15.75" customHeight="1" x14ac:dyDescent="0.25">
      <c r="A309" s="38">
        <v>27</v>
      </c>
      <c r="B309" s="125" t="s">
        <v>277</v>
      </c>
      <c r="C309" s="45">
        <v>30</v>
      </c>
      <c r="D309" s="8">
        <v>89</v>
      </c>
      <c r="E309" s="8">
        <v>22</v>
      </c>
      <c r="F309" s="8"/>
      <c r="G309" s="8"/>
      <c r="H309" s="8"/>
      <c r="I309" s="8">
        <v>55</v>
      </c>
      <c r="J309" s="15">
        <f t="shared" si="27"/>
        <v>38.239999999999995</v>
      </c>
      <c r="K309" s="8">
        <v>87</v>
      </c>
      <c r="L309" s="8">
        <v>87</v>
      </c>
      <c r="M309" s="15">
        <f t="shared" si="28"/>
        <v>8.7000000000000011</v>
      </c>
      <c r="N309" s="8">
        <v>97</v>
      </c>
      <c r="O309" s="8">
        <v>97</v>
      </c>
      <c r="P309" s="15">
        <f t="shared" si="29"/>
        <v>9.7000000000000011</v>
      </c>
      <c r="Q309" s="10"/>
      <c r="R309" s="359" t="str">
        <f t="shared" si="30"/>
        <v>BAJO</v>
      </c>
      <c r="S309" s="360"/>
      <c r="T309" s="360"/>
      <c r="U309" s="377"/>
      <c r="V309" s="51">
        <f t="shared" si="31"/>
        <v>56.64</v>
      </c>
      <c r="W309" s="10"/>
      <c r="X309" s="10"/>
    </row>
    <row r="310" spans="1:24" ht="15.75" customHeight="1" x14ac:dyDescent="0.25">
      <c r="A310" s="38">
        <v>28</v>
      </c>
      <c r="B310" s="125" t="s">
        <v>278</v>
      </c>
      <c r="C310" s="45">
        <v>45</v>
      </c>
      <c r="D310" s="8">
        <v>79</v>
      </c>
      <c r="E310" s="8">
        <v>67</v>
      </c>
      <c r="F310" s="8"/>
      <c r="G310" s="8"/>
      <c r="H310" s="8"/>
      <c r="I310" s="8">
        <v>0</v>
      </c>
      <c r="J310" s="15">
        <f t="shared" si="27"/>
        <v>45.839999999999996</v>
      </c>
      <c r="K310" s="8">
        <v>85</v>
      </c>
      <c r="L310" s="8">
        <v>85</v>
      </c>
      <c r="M310" s="15">
        <f t="shared" si="28"/>
        <v>8.5</v>
      </c>
      <c r="N310" s="8">
        <v>89</v>
      </c>
      <c r="O310" s="8">
        <v>89</v>
      </c>
      <c r="P310" s="15">
        <f t="shared" si="29"/>
        <v>8.9</v>
      </c>
      <c r="Q310" s="10"/>
      <c r="R310" s="359" t="str">
        <f t="shared" si="30"/>
        <v>BAJO</v>
      </c>
      <c r="S310" s="360"/>
      <c r="T310" s="360"/>
      <c r="U310" s="377"/>
      <c r="V310" s="51">
        <f t="shared" si="31"/>
        <v>63.239999999999995</v>
      </c>
      <c r="W310" s="10"/>
      <c r="X310" s="10"/>
    </row>
    <row r="311" spans="1:24" ht="15.75" customHeight="1" x14ac:dyDescent="0.25">
      <c r="A311" s="38">
        <v>29</v>
      </c>
      <c r="B311" s="122" t="s">
        <v>652</v>
      </c>
      <c r="C311" s="45">
        <v>49</v>
      </c>
      <c r="D311" s="8">
        <v>96</v>
      </c>
      <c r="E311" s="8">
        <v>89</v>
      </c>
      <c r="F311" s="8"/>
      <c r="G311" s="8"/>
      <c r="H311" s="8"/>
      <c r="I311" s="8">
        <v>60</v>
      </c>
      <c r="J311" s="15">
        <f t="shared" si="27"/>
        <v>60.959999999999994</v>
      </c>
      <c r="K311" s="8">
        <v>89</v>
      </c>
      <c r="L311" s="8">
        <v>89</v>
      </c>
      <c r="M311" s="15">
        <f t="shared" si="28"/>
        <v>8.9</v>
      </c>
      <c r="N311" s="8">
        <v>97</v>
      </c>
      <c r="O311" s="8">
        <v>97</v>
      </c>
      <c r="P311" s="15">
        <f t="shared" si="29"/>
        <v>9.7000000000000011</v>
      </c>
      <c r="Q311" s="10"/>
      <c r="R311" s="359" t="str">
        <f t="shared" si="30"/>
        <v>ALTO</v>
      </c>
      <c r="S311" s="360"/>
      <c r="T311" s="360"/>
      <c r="U311" s="377"/>
      <c r="V311" s="51">
        <f t="shared" si="31"/>
        <v>79.56</v>
      </c>
      <c r="W311" s="10"/>
      <c r="X311" s="10"/>
    </row>
    <row r="312" spans="1:24" ht="15.75" customHeight="1" x14ac:dyDescent="0.25">
      <c r="A312" s="38">
        <v>30</v>
      </c>
      <c r="B312" s="125" t="s">
        <v>412</v>
      </c>
      <c r="C312" s="45">
        <v>22</v>
      </c>
      <c r="D312" s="8">
        <v>20</v>
      </c>
      <c r="E312" s="8">
        <v>38</v>
      </c>
      <c r="F312" s="8"/>
      <c r="G312" s="8"/>
      <c r="H312" s="8"/>
      <c r="I312" s="8">
        <v>55</v>
      </c>
      <c r="J312" s="15">
        <f t="shared" si="27"/>
        <v>23.6</v>
      </c>
      <c r="K312" s="8">
        <v>86</v>
      </c>
      <c r="L312" s="8">
        <v>86</v>
      </c>
      <c r="M312" s="15">
        <f t="shared" si="28"/>
        <v>8.6</v>
      </c>
      <c r="N312" s="8">
        <v>83</v>
      </c>
      <c r="O312" s="8">
        <v>83</v>
      </c>
      <c r="P312" s="15">
        <f t="shared" si="29"/>
        <v>8.3000000000000007</v>
      </c>
      <c r="Q312" s="10"/>
      <c r="R312" s="359" t="str">
        <f t="shared" si="30"/>
        <v>BAJO</v>
      </c>
      <c r="S312" s="360"/>
      <c r="T312" s="360"/>
      <c r="U312" s="377"/>
      <c r="V312" s="51">
        <f t="shared" si="31"/>
        <v>40.5</v>
      </c>
      <c r="W312" s="10"/>
      <c r="X312" s="10"/>
    </row>
    <row r="313" spans="1:24" ht="15.75" customHeight="1" x14ac:dyDescent="0.25">
      <c r="A313" s="38">
        <v>31</v>
      </c>
      <c r="B313" s="125" t="s">
        <v>721</v>
      </c>
      <c r="C313" s="45">
        <v>23</v>
      </c>
      <c r="D313" s="8">
        <v>28</v>
      </c>
      <c r="E313" s="8">
        <v>26</v>
      </c>
      <c r="F313" s="8"/>
      <c r="G313" s="8"/>
      <c r="H313" s="8"/>
      <c r="I313" s="8">
        <v>40</v>
      </c>
      <c r="J313" s="15">
        <f t="shared" si="27"/>
        <v>21.68</v>
      </c>
      <c r="K313" s="8">
        <v>97</v>
      </c>
      <c r="L313" s="8">
        <v>97</v>
      </c>
      <c r="M313" s="15">
        <f t="shared" si="28"/>
        <v>9.7000000000000011</v>
      </c>
      <c r="N313" s="8">
        <v>88</v>
      </c>
      <c r="O313" s="8">
        <v>88</v>
      </c>
      <c r="P313" s="15">
        <f t="shared" si="29"/>
        <v>8.8000000000000007</v>
      </c>
      <c r="Q313" s="10"/>
      <c r="R313" s="359" t="str">
        <f t="shared" si="30"/>
        <v>BAJO</v>
      </c>
      <c r="S313" s="360"/>
      <c r="T313" s="360"/>
      <c r="U313" s="377"/>
      <c r="V313" s="51">
        <f t="shared" si="31"/>
        <v>40.180000000000007</v>
      </c>
      <c r="W313" s="10"/>
      <c r="X313" s="10"/>
    </row>
    <row r="314" spans="1:24" ht="15.75" customHeight="1" x14ac:dyDescent="0.25">
      <c r="A314" s="38">
        <v>32</v>
      </c>
      <c r="B314" s="125" t="s">
        <v>722</v>
      </c>
      <c r="C314" s="45">
        <v>100</v>
      </c>
      <c r="D314" s="8">
        <v>25</v>
      </c>
      <c r="E314" s="8">
        <v>84</v>
      </c>
      <c r="F314" s="8"/>
      <c r="G314" s="8"/>
      <c r="H314" s="8"/>
      <c r="I314" s="8">
        <v>60</v>
      </c>
      <c r="J314" s="15">
        <f t="shared" si="27"/>
        <v>54.96</v>
      </c>
      <c r="K314" s="8">
        <v>88</v>
      </c>
      <c r="L314" s="8">
        <v>88</v>
      </c>
      <c r="M314" s="15">
        <f t="shared" si="28"/>
        <v>8.8000000000000007</v>
      </c>
      <c r="N314" s="8">
        <v>80</v>
      </c>
      <c r="O314" s="8">
        <v>80</v>
      </c>
      <c r="P314" s="15">
        <f t="shared" si="29"/>
        <v>8</v>
      </c>
      <c r="Q314" s="10"/>
      <c r="R314" s="359" t="str">
        <f t="shared" si="30"/>
        <v>BASICO</v>
      </c>
      <c r="S314" s="360"/>
      <c r="T314" s="360"/>
      <c r="U314" s="377"/>
      <c r="V314" s="51">
        <f t="shared" si="31"/>
        <v>71.760000000000005</v>
      </c>
      <c r="W314" s="10"/>
      <c r="X314" s="10"/>
    </row>
    <row r="315" spans="1:24" ht="15.75" customHeight="1" x14ac:dyDescent="0.25">
      <c r="A315" s="38">
        <v>33</v>
      </c>
      <c r="B315" s="165"/>
      <c r="C315" s="45"/>
      <c r="D315" s="8"/>
      <c r="E315" s="8"/>
      <c r="F315" s="8"/>
      <c r="G315" s="8"/>
      <c r="H315" s="8"/>
      <c r="I315" s="8"/>
      <c r="J315" s="15" t="e">
        <f t="shared" si="27"/>
        <v>#DIV/0!</v>
      </c>
      <c r="K315" s="8"/>
      <c r="L315" s="8"/>
      <c r="M315" s="15" t="e">
        <f t="shared" si="28"/>
        <v>#DIV/0!</v>
      </c>
      <c r="N315" s="8"/>
      <c r="O315" s="8"/>
      <c r="P315" s="15" t="e">
        <f t="shared" si="29"/>
        <v>#DIV/0!</v>
      </c>
      <c r="Q315" s="10"/>
      <c r="R315" s="359" t="e">
        <f t="shared" si="30"/>
        <v>#DIV/0!</v>
      </c>
      <c r="S315" s="360"/>
      <c r="T315" s="360"/>
      <c r="U315" s="377"/>
      <c r="V315" s="51" t="e">
        <f t="shared" si="31"/>
        <v>#DIV/0!</v>
      </c>
      <c r="W315" s="10"/>
      <c r="X315" s="10"/>
    </row>
    <row r="316" spans="1:24" ht="15.75" customHeight="1" x14ac:dyDescent="0.25">
      <c r="A316" s="38">
        <v>34</v>
      </c>
      <c r="B316" s="165"/>
      <c r="C316" s="45"/>
      <c r="D316" s="8"/>
      <c r="E316" s="8"/>
      <c r="F316" s="8"/>
      <c r="G316" s="8"/>
      <c r="H316" s="8"/>
      <c r="I316" s="8"/>
      <c r="J316" s="15" t="e">
        <f t="shared" si="27"/>
        <v>#DIV/0!</v>
      </c>
      <c r="K316" s="8"/>
      <c r="L316" s="8"/>
      <c r="M316" s="15" t="e">
        <f t="shared" si="28"/>
        <v>#DIV/0!</v>
      </c>
      <c r="N316" s="8"/>
      <c r="O316" s="8"/>
      <c r="P316" s="15" t="e">
        <f t="shared" si="29"/>
        <v>#DIV/0!</v>
      </c>
      <c r="Q316" s="10"/>
      <c r="R316" s="359" t="e">
        <f t="shared" si="30"/>
        <v>#DIV/0!</v>
      </c>
      <c r="S316" s="360"/>
      <c r="T316" s="360"/>
      <c r="U316" s="377"/>
      <c r="V316" s="51" t="e">
        <f t="shared" si="31"/>
        <v>#DIV/0!</v>
      </c>
      <c r="W316" s="10"/>
      <c r="X316" s="10"/>
    </row>
    <row r="317" spans="1:24" ht="15.75" customHeight="1" x14ac:dyDescent="0.25">
      <c r="A317" s="38">
        <v>35</v>
      </c>
      <c r="B317" s="165"/>
      <c r="C317" s="45"/>
      <c r="D317" s="8"/>
      <c r="E317" s="8"/>
      <c r="F317" s="8"/>
      <c r="G317" s="8"/>
      <c r="H317" s="8"/>
      <c r="I317" s="8"/>
      <c r="J317" s="15" t="e">
        <f t="shared" si="27"/>
        <v>#DIV/0!</v>
      </c>
      <c r="K317" s="8"/>
      <c r="L317" s="8"/>
      <c r="M317" s="15" t="e">
        <f t="shared" si="28"/>
        <v>#DIV/0!</v>
      </c>
      <c r="N317" s="8"/>
      <c r="O317" s="8"/>
      <c r="P317" s="15" t="e">
        <f t="shared" si="29"/>
        <v>#DIV/0!</v>
      </c>
      <c r="Q317" s="10"/>
      <c r="R317" s="359" t="e">
        <f t="shared" si="30"/>
        <v>#DIV/0!</v>
      </c>
      <c r="S317" s="360"/>
      <c r="T317" s="360"/>
      <c r="U317" s="377"/>
      <c r="V317" s="51" t="e">
        <f t="shared" si="31"/>
        <v>#DIV/0!</v>
      </c>
      <c r="W317" s="10"/>
      <c r="X317" s="10"/>
    </row>
    <row r="318" spans="1:24" ht="15.75" customHeight="1" x14ac:dyDescent="0.25">
      <c r="A318" s="38">
        <v>36</v>
      </c>
      <c r="B318" s="125"/>
      <c r="C318" s="45"/>
      <c r="D318" s="8"/>
      <c r="E318" s="8"/>
      <c r="F318" s="8"/>
      <c r="G318" s="8"/>
      <c r="H318" s="8"/>
      <c r="I318" s="8"/>
      <c r="J318" s="15" t="e">
        <f t="shared" si="27"/>
        <v>#DIV/0!</v>
      </c>
      <c r="K318" s="8"/>
      <c r="L318" s="8"/>
      <c r="M318" s="15" t="e">
        <f t="shared" si="28"/>
        <v>#DIV/0!</v>
      </c>
      <c r="N318" s="8"/>
      <c r="O318" s="8"/>
      <c r="P318" s="15" t="e">
        <f t="shared" si="29"/>
        <v>#DIV/0!</v>
      </c>
      <c r="Q318" s="10"/>
      <c r="R318" s="359" t="e">
        <f t="shared" si="30"/>
        <v>#DIV/0!</v>
      </c>
      <c r="S318" s="360"/>
      <c r="T318" s="360"/>
      <c r="U318" s="377"/>
      <c r="V318" s="51" t="e">
        <f t="shared" si="31"/>
        <v>#DIV/0!</v>
      </c>
      <c r="W318" s="10"/>
      <c r="X318" s="10"/>
    </row>
    <row r="319" spans="1:24" ht="15.75" customHeight="1" x14ac:dyDescent="0.25">
      <c r="A319" s="38">
        <v>37</v>
      </c>
      <c r="B319" s="84"/>
      <c r="C319" s="45"/>
      <c r="D319" s="8"/>
      <c r="E319" s="8"/>
      <c r="F319" s="8"/>
      <c r="G319" s="8"/>
      <c r="H319" s="8"/>
      <c r="I319" s="8"/>
      <c r="J319" s="15" t="e">
        <f t="shared" si="27"/>
        <v>#DIV/0!</v>
      </c>
      <c r="K319" s="8"/>
      <c r="L319" s="8"/>
      <c r="M319" s="15" t="e">
        <f t="shared" si="28"/>
        <v>#DIV/0!</v>
      </c>
      <c r="N319" s="8"/>
      <c r="O319" s="8"/>
      <c r="P319" s="15" t="e">
        <f t="shared" si="29"/>
        <v>#DIV/0!</v>
      </c>
      <c r="Q319" s="10"/>
      <c r="R319" s="359" t="e">
        <f t="shared" si="30"/>
        <v>#DIV/0!</v>
      </c>
      <c r="S319" s="360"/>
      <c r="T319" s="360"/>
      <c r="U319" s="377"/>
      <c r="V319" s="51" t="e">
        <f t="shared" si="31"/>
        <v>#DIV/0!</v>
      </c>
      <c r="W319" s="10"/>
      <c r="X319" s="10"/>
    </row>
    <row r="320" spans="1:24" ht="15.75" customHeight="1" x14ac:dyDescent="0.25">
      <c r="A320" s="38">
        <v>38</v>
      </c>
      <c r="B320" s="84"/>
      <c r="C320" s="45"/>
      <c r="D320" s="8"/>
      <c r="E320" s="8"/>
      <c r="F320" s="8"/>
      <c r="G320" s="8"/>
      <c r="H320" s="8"/>
      <c r="I320" s="8"/>
      <c r="J320" s="15" t="e">
        <f t="shared" si="27"/>
        <v>#DIV/0!</v>
      </c>
      <c r="K320" s="8"/>
      <c r="L320" s="8"/>
      <c r="M320" s="15" t="e">
        <f t="shared" si="28"/>
        <v>#DIV/0!</v>
      </c>
      <c r="N320" s="8"/>
      <c r="O320" s="8"/>
      <c r="P320" s="15" t="e">
        <f t="shared" si="29"/>
        <v>#DIV/0!</v>
      </c>
      <c r="Q320" s="10"/>
      <c r="R320" s="359" t="e">
        <f t="shared" si="30"/>
        <v>#DIV/0!</v>
      </c>
      <c r="S320" s="360"/>
      <c r="T320" s="360"/>
      <c r="U320" s="377"/>
      <c r="V320" s="51" t="e">
        <f t="shared" si="31"/>
        <v>#DIV/0!</v>
      </c>
      <c r="W320" s="10"/>
      <c r="X320" s="10"/>
    </row>
    <row r="321" spans="1:24" ht="15.75" customHeight="1" x14ac:dyDescent="0.25">
      <c r="A321" s="38">
        <v>39</v>
      </c>
      <c r="B321" s="85"/>
      <c r="C321" s="45"/>
      <c r="D321" s="8"/>
      <c r="E321" s="8"/>
      <c r="F321" s="8"/>
      <c r="G321" s="8"/>
      <c r="H321" s="8"/>
      <c r="I321" s="8"/>
      <c r="J321" s="15" t="e">
        <f t="shared" si="27"/>
        <v>#DIV/0!</v>
      </c>
      <c r="K321" s="8"/>
      <c r="L321" s="8"/>
      <c r="M321" s="15" t="e">
        <f t="shared" si="28"/>
        <v>#DIV/0!</v>
      </c>
      <c r="N321" s="8"/>
      <c r="O321" s="8"/>
      <c r="P321" s="15" t="e">
        <f t="shared" si="29"/>
        <v>#DIV/0!</v>
      </c>
      <c r="Q321" s="10"/>
      <c r="R321" s="359" t="e">
        <f t="shared" si="30"/>
        <v>#DIV/0!</v>
      </c>
      <c r="S321" s="360"/>
      <c r="T321" s="360"/>
      <c r="U321" s="377"/>
      <c r="V321" s="51" t="e">
        <f t="shared" si="31"/>
        <v>#DIV/0!</v>
      </c>
      <c r="W321" s="10"/>
      <c r="X321" s="10"/>
    </row>
    <row r="322" spans="1:24" ht="15.75" customHeight="1" x14ac:dyDescent="0.25">
      <c r="A322" s="38">
        <v>40</v>
      </c>
      <c r="B322" s="86"/>
      <c r="C322" s="45"/>
      <c r="D322" s="8"/>
      <c r="E322" s="8"/>
      <c r="F322" s="8"/>
      <c r="G322" s="8"/>
      <c r="H322" s="8"/>
      <c r="I322" s="8"/>
      <c r="J322" s="15" t="e">
        <f t="shared" si="27"/>
        <v>#DIV/0!</v>
      </c>
      <c r="K322" s="8"/>
      <c r="L322" s="8"/>
      <c r="M322" s="15" t="e">
        <f t="shared" si="28"/>
        <v>#DIV/0!</v>
      </c>
      <c r="N322" s="8"/>
      <c r="O322" s="8"/>
      <c r="P322" s="15" t="e">
        <f t="shared" si="29"/>
        <v>#DIV/0!</v>
      </c>
      <c r="Q322" s="10"/>
      <c r="R322" s="359" t="e">
        <f t="shared" si="30"/>
        <v>#DIV/0!</v>
      </c>
      <c r="S322" s="360"/>
      <c r="T322" s="360"/>
      <c r="U322" s="377"/>
      <c r="V322" s="51" t="e">
        <f t="shared" si="31"/>
        <v>#DIV/0!</v>
      </c>
      <c r="W322" s="10"/>
      <c r="X322" s="10"/>
    </row>
    <row r="323" spans="1:24" ht="15.75" customHeight="1" x14ac:dyDescent="0.25">
      <c r="A323" s="38">
        <v>41</v>
      </c>
      <c r="B323" s="35"/>
      <c r="C323" s="45"/>
      <c r="D323" s="8"/>
      <c r="E323" s="8"/>
      <c r="F323" s="8"/>
      <c r="G323" s="8"/>
      <c r="H323" s="8"/>
      <c r="I323" s="8"/>
      <c r="J323" s="15" t="e">
        <f t="shared" si="27"/>
        <v>#DIV/0!</v>
      </c>
      <c r="K323" s="8"/>
      <c r="L323" s="8"/>
      <c r="M323" s="15" t="e">
        <f t="shared" si="28"/>
        <v>#DIV/0!</v>
      </c>
      <c r="N323" s="8"/>
      <c r="O323" s="8"/>
      <c r="P323" s="15" t="e">
        <f t="shared" si="29"/>
        <v>#DIV/0!</v>
      </c>
      <c r="Q323" s="10"/>
      <c r="R323" s="359" t="e">
        <f t="shared" si="30"/>
        <v>#DIV/0!</v>
      </c>
      <c r="S323" s="360"/>
      <c r="T323" s="360"/>
      <c r="U323" s="377"/>
      <c r="V323" s="51" t="e">
        <f t="shared" si="31"/>
        <v>#DIV/0!</v>
      </c>
      <c r="W323" s="10"/>
      <c r="X323" s="10"/>
    </row>
    <row r="324" spans="1:24" ht="15.75" customHeight="1" x14ac:dyDescent="0.25">
      <c r="A324" s="38">
        <v>42</v>
      </c>
      <c r="B324" s="40"/>
      <c r="C324" s="45"/>
      <c r="D324" s="8"/>
      <c r="E324" s="8"/>
      <c r="F324" s="8"/>
      <c r="G324" s="8"/>
      <c r="H324" s="8"/>
      <c r="I324" s="8"/>
      <c r="J324" s="15" t="e">
        <f t="shared" si="27"/>
        <v>#DIV/0!</v>
      </c>
      <c r="K324" s="8"/>
      <c r="L324" s="8"/>
      <c r="M324" s="15" t="e">
        <f t="shared" si="28"/>
        <v>#DIV/0!</v>
      </c>
      <c r="N324" s="8"/>
      <c r="O324" s="8"/>
      <c r="P324" s="15" t="e">
        <f t="shared" si="29"/>
        <v>#DIV/0!</v>
      </c>
      <c r="Q324" s="10"/>
      <c r="R324" s="359" t="e">
        <f t="shared" si="30"/>
        <v>#DIV/0!</v>
      </c>
      <c r="S324" s="360"/>
      <c r="T324" s="360"/>
      <c r="U324" s="377"/>
      <c r="V324" s="51" t="e">
        <f t="shared" si="31"/>
        <v>#DIV/0!</v>
      </c>
      <c r="W324" s="10"/>
      <c r="X324" s="10"/>
    </row>
    <row r="325" spans="1:24" ht="15.75" customHeight="1" x14ac:dyDescent="0.25">
      <c r="A325" s="38">
        <v>43</v>
      </c>
      <c r="B325" s="40"/>
      <c r="C325" s="45"/>
      <c r="D325" s="8"/>
      <c r="E325" s="8"/>
      <c r="F325" s="8"/>
      <c r="G325" s="8"/>
      <c r="H325" s="8"/>
      <c r="I325" s="8"/>
      <c r="J325" s="15" t="e">
        <f t="shared" si="27"/>
        <v>#DIV/0!</v>
      </c>
      <c r="K325" s="8"/>
      <c r="L325" s="8"/>
      <c r="M325" s="15" t="e">
        <f t="shared" si="28"/>
        <v>#DIV/0!</v>
      </c>
      <c r="N325" s="8"/>
      <c r="O325" s="8"/>
      <c r="P325" s="15" t="e">
        <f t="shared" si="29"/>
        <v>#DIV/0!</v>
      </c>
      <c r="Q325" s="10"/>
      <c r="R325" s="359" t="e">
        <f t="shared" si="30"/>
        <v>#DIV/0!</v>
      </c>
      <c r="S325" s="360"/>
      <c r="T325" s="360"/>
      <c r="U325" s="377"/>
      <c r="V325" s="51" t="e">
        <f t="shared" si="31"/>
        <v>#DIV/0!</v>
      </c>
      <c r="W325" s="10"/>
      <c r="X325" s="10"/>
    </row>
    <row r="326" spans="1:24" ht="15.75" customHeight="1" x14ac:dyDescent="0.25">
      <c r="A326" s="38">
        <v>44</v>
      </c>
      <c r="B326" s="40"/>
      <c r="C326" s="45"/>
      <c r="D326" s="8"/>
      <c r="E326" s="8"/>
      <c r="F326" s="8"/>
      <c r="G326" s="8"/>
      <c r="H326" s="8"/>
      <c r="I326" s="8"/>
      <c r="J326" s="15" t="e">
        <f t="shared" si="27"/>
        <v>#DIV/0!</v>
      </c>
      <c r="K326" s="8"/>
      <c r="L326" s="8"/>
      <c r="M326" s="15" t="e">
        <f t="shared" si="28"/>
        <v>#DIV/0!</v>
      </c>
      <c r="N326" s="8"/>
      <c r="O326" s="8"/>
      <c r="P326" s="15" t="e">
        <f t="shared" si="29"/>
        <v>#DIV/0!</v>
      </c>
      <c r="Q326" s="10"/>
      <c r="R326" s="359" t="e">
        <f t="shared" si="30"/>
        <v>#DIV/0!</v>
      </c>
      <c r="S326" s="360"/>
      <c r="T326" s="360"/>
      <c r="U326" s="377"/>
      <c r="V326" s="51" t="e">
        <f t="shared" si="31"/>
        <v>#DIV/0!</v>
      </c>
      <c r="W326" s="10"/>
      <c r="X326" s="10"/>
    </row>
    <row r="327" spans="1:24" ht="15.75" customHeight="1" x14ac:dyDescent="0.25">
      <c r="A327" s="38">
        <v>45</v>
      </c>
      <c r="B327" s="40"/>
      <c r="C327" s="45"/>
      <c r="D327" s="8"/>
      <c r="E327" s="8"/>
      <c r="F327" s="8"/>
      <c r="G327" s="8"/>
      <c r="H327" s="8"/>
      <c r="I327" s="8"/>
      <c r="J327" s="15" t="e">
        <f t="shared" si="27"/>
        <v>#DIV/0!</v>
      </c>
      <c r="K327" s="8"/>
      <c r="L327" s="8"/>
      <c r="M327" s="15" t="e">
        <f t="shared" si="28"/>
        <v>#DIV/0!</v>
      </c>
      <c r="N327" s="8"/>
      <c r="O327" s="8"/>
      <c r="P327" s="15" t="e">
        <f t="shared" si="29"/>
        <v>#DIV/0!</v>
      </c>
      <c r="Q327" s="10"/>
      <c r="R327" s="359" t="e">
        <f t="shared" si="30"/>
        <v>#DIV/0!</v>
      </c>
      <c r="S327" s="360"/>
      <c r="T327" s="360"/>
      <c r="U327" s="377"/>
      <c r="V327" s="51" t="e">
        <f t="shared" si="31"/>
        <v>#DIV/0!</v>
      </c>
      <c r="W327" s="10"/>
      <c r="X327" s="10"/>
    </row>
    <row r="328" spans="1:24" ht="15.75" customHeight="1" thickBot="1" x14ac:dyDescent="0.3">
      <c r="A328" s="39">
        <v>46</v>
      </c>
      <c r="B328" s="41"/>
      <c r="C328" s="46"/>
      <c r="D328" s="47"/>
      <c r="E328" s="47"/>
      <c r="F328" s="47"/>
      <c r="G328" s="47"/>
      <c r="H328" s="47"/>
      <c r="I328" s="47"/>
      <c r="J328" s="48" t="e">
        <f t="shared" si="27"/>
        <v>#DIV/0!</v>
      </c>
      <c r="K328" s="47"/>
      <c r="L328" s="47"/>
      <c r="M328" s="48" t="e">
        <f t="shared" si="28"/>
        <v>#DIV/0!</v>
      </c>
      <c r="N328" s="47"/>
      <c r="O328" s="47"/>
      <c r="P328" s="48" t="e">
        <f t="shared" si="29"/>
        <v>#DIV/0!</v>
      </c>
      <c r="Q328" s="49"/>
      <c r="R328" s="370" t="e">
        <f t="shared" si="30"/>
        <v>#DIV/0!</v>
      </c>
      <c r="S328" s="371"/>
      <c r="T328" s="371"/>
      <c r="U328" s="385"/>
      <c r="V328" s="52" t="e">
        <f t="shared" si="31"/>
        <v>#DIV/0!</v>
      </c>
      <c r="W328" s="10"/>
      <c r="X328" s="10"/>
    </row>
    <row r="329" spans="1:24" ht="15.75" customHeight="1" x14ac:dyDescent="0.25">
      <c r="A329" s="263"/>
      <c r="B329" s="375"/>
      <c r="C329" s="257"/>
      <c r="D329" s="257"/>
      <c r="E329" s="267"/>
      <c r="F329" s="270"/>
      <c r="G329" s="270"/>
      <c r="H329" s="270"/>
      <c r="I329" s="270"/>
      <c r="J329" s="272"/>
      <c r="K329" s="272"/>
      <c r="L329" s="257"/>
      <c r="M329" s="259"/>
      <c r="N329" s="259"/>
      <c r="O329" s="259"/>
      <c r="P329" s="259"/>
      <c r="Q329" s="261"/>
      <c r="R329" s="277"/>
      <c r="S329" s="278"/>
      <c r="T329" s="279"/>
      <c r="U329" s="283"/>
      <c r="V329" s="284"/>
      <c r="W329" s="255"/>
      <c r="X329" s="181"/>
    </row>
    <row r="330" spans="1:24" ht="15.75" customHeight="1" x14ac:dyDescent="0.25">
      <c r="A330" s="264"/>
      <c r="B330" s="374"/>
      <c r="C330" s="205"/>
      <c r="D330" s="205"/>
      <c r="E330" s="210"/>
      <c r="F330" s="211"/>
      <c r="G330" s="211"/>
      <c r="H330" s="211"/>
      <c r="I330" s="211"/>
      <c r="J330" s="204"/>
      <c r="K330" s="204"/>
      <c r="L330" s="205"/>
      <c r="M330" s="185"/>
      <c r="N330" s="185"/>
      <c r="O330" s="185"/>
      <c r="P330" s="185"/>
      <c r="Q330" s="187"/>
      <c r="R330" s="188"/>
      <c r="S330" s="189"/>
      <c r="T330" s="190"/>
      <c r="U330" s="194"/>
      <c r="V330" s="285"/>
      <c r="W330" s="255"/>
      <c r="X330" s="181"/>
    </row>
    <row r="331" spans="1:24" ht="15.75" customHeight="1" x14ac:dyDescent="0.25">
      <c r="A331" s="264"/>
      <c r="B331" s="183"/>
      <c r="C331" s="205"/>
      <c r="D331" s="205"/>
      <c r="E331" s="210"/>
      <c r="F331" s="211"/>
      <c r="G331" s="211"/>
      <c r="H331" s="211"/>
      <c r="I331" s="211"/>
      <c r="J331" s="204"/>
      <c r="K331" s="204"/>
      <c r="L331" s="205"/>
      <c r="M331" s="185"/>
      <c r="N331" s="185"/>
      <c r="O331" s="185"/>
      <c r="P331" s="185"/>
      <c r="Q331" s="187"/>
      <c r="R331" s="188"/>
      <c r="S331" s="189"/>
      <c r="T331" s="190"/>
      <c r="U331" s="194"/>
      <c r="V331" s="285"/>
      <c r="W331" s="255"/>
      <c r="X331" s="181"/>
    </row>
    <row r="332" spans="1:24" ht="15.75" customHeight="1" thickBot="1" x14ac:dyDescent="0.3">
      <c r="A332" s="265"/>
      <c r="B332" s="269"/>
      <c r="C332" s="258"/>
      <c r="D332" s="258"/>
      <c r="E332" s="268"/>
      <c r="F332" s="271"/>
      <c r="G332" s="271"/>
      <c r="H332" s="271"/>
      <c r="I332" s="271"/>
      <c r="J332" s="273"/>
      <c r="K332" s="273"/>
      <c r="L332" s="258"/>
      <c r="M332" s="260"/>
      <c r="N332" s="260"/>
      <c r="O332" s="260"/>
      <c r="P332" s="260"/>
      <c r="Q332" s="262"/>
      <c r="R332" s="280"/>
      <c r="S332" s="281"/>
      <c r="T332" s="282"/>
      <c r="U332" s="286"/>
      <c r="V332" s="287"/>
      <c r="W332" s="256"/>
      <c r="X332" s="182"/>
    </row>
    <row r="333" spans="1:24" ht="15.75" customHeight="1" thickBot="1" x14ac:dyDescent="0.3"/>
    <row r="334" spans="1:24" ht="87.75" customHeight="1" thickBot="1" x14ac:dyDescent="0.3">
      <c r="A334" s="290"/>
      <c r="B334" s="291"/>
      <c r="C334" s="291"/>
      <c r="D334" s="291"/>
      <c r="E334" s="291"/>
      <c r="F334" s="291"/>
      <c r="G334" s="291"/>
      <c r="H334" s="291"/>
      <c r="I334" s="291"/>
      <c r="J334" s="291"/>
      <c r="K334" s="291"/>
      <c r="L334" s="291"/>
      <c r="M334" s="291"/>
      <c r="N334" s="291"/>
      <c r="O334" s="291"/>
      <c r="P334" s="292"/>
      <c r="Q334" s="310"/>
      <c r="R334" s="228"/>
      <c r="S334" s="228"/>
      <c r="T334" s="228"/>
      <c r="U334" s="228"/>
      <c r="V334" s="228"/>
      <c r="W334" s="228"/>
      <c r="X334" s="229"/>
    </row>
    <row r="335" spans="1:24" ht="15.75" customHeight="1" thickBot="1" x14ac:dyDescent="0.3">
      <c r="A335" s="218" t="s">
        <v>281</v>
      </c>
      <c r="B335" s="219"/>
      <c r="C335" s="220" t="s">
        <v>931</v>
      </c>
      <c r="D335" s="221"/>
      <c r="E335" s="221"/>
      <c r="F335" s="221"/>
      <c r="G335" s="221"/>
      <c r="H335" s="221"/>
      <c r="I335" s="222"/>
      <c r="J335" s="223" t="s">
        <v>20</v>
      </c>
      <c r="K335" s="224"/>
      <c r="L335" s="224"/>
      <c r="M335" s="224"/>
      <c r="N335" s="225"/>
      <c r="O335" s="225"/>
      <c r="P335" s="225"/>
      <c r="Q335" s="226"/>
      <c r="R335" s="227" t="s">
        <v>155</v>
      </c>
      <c r="S335" s="228"/>
      <c r="T335" s="228"/>
      <c r="U335" s="228"/>
      <c r="V335" s="228"/>
      <c r="W335" s="228"/>
      <c r="X335" s="229"/>
    </row>
    <row r="336" spans="1:24" ht="15.75" customHeight="1" x14ac:dyDescent="0.25">
      <c r="A336" s="355" t="s">
        <v>0</v>
      </c>
      <c r="B336" s="355" t="s">
        <v>1</v>
      </c>
      <c r="C336" s="358" t="s">
        <v>12</v>
      </c>
      <c r="D336" s="235"/>
      <c r="E336" s="235"/>
      <c r="F336" s="235"/>
      <c r="G336" s="235"/>
      <c r="H336" s="235"/>
      <c r="I336" s="235"/>
      <c r="J336" s="235"/>
      <c r="K336" s="236" t="s">
        <v>13</v>
      </c>
      <c r="L336" s="237"/>
      <c r="M336" s="237"/>
      <c r="N336" s="240" t="s">
        <v>15</v>
      </c>
      <c r="O336" s="240"/>
      <c r="P336" s="240"/>
      <c r="Q336" s="241" t="s">
        <v>4</v>
      </c>
      <c r="R336" s="244" t="s">
        <v>11</v>
      </c>
      <c r="S336" s="244"/>
      <c r="T336" s="244"/>
      <c r="U336" s="244"/>
      <c r="V336" s="244"/>
      <c r="W336" s="246" t="s">
        <v>2</v>
      </c>
      <c r="X336" s="247"/>
    </row>
    <row r="337" spans="1:24" ht="15.75" customHeight="1" x14ac:dyDescent="0.25">
      <c r="A337" s="356"/>
      <c r="B337" s="356"/>
      <c r="C337" s="364" t="s">
        <v>6</v>
      </c>
      <c r="D337" s="248" t="s">
        <v>17</v>
      </c>
      <c r="E337" s="248" t="s">
        <v>5</v>
      </c>
      <c r="F337" s="250"/>
      <c r="G337" s="250"/>
      <c r="H337" s="250"/>
      <c r="I337" s="251" t="s">
        <v>16</v>
      </c>
      <c r="J337" s="350" t="s">
        <v>14</v>
      </c>
      <c r="K337" s="238"/>
      <c r="L337" s="239"/>
      <c r="M337" s="239"/>
      <c r="N337" s="240"/>
      <c r="O337" s="240"/>
      <c r="P337" s="240"/>
      <c r="Q337" s="242"/>
      <c r="R337" s="245"/>
      <c r="S337" s="245"/>
      <c r="T337" s="245"/>
      <c r="U337" s="245"/>
      <c r="V337" s="245"/>
      <c r="W337" s="187"/>
      <c r="X337" s="187"/>
    </row>
    <row r="338" spans="1:24" ht="59.25" customHeight="1" thickBot="1" x14ac:dyDescent="0.3">
      <c r="A338" s="357"/>
      <c r="B338" s="357"/>
      <c r="C338" s="364"/>
      <c r="D338" s="248"/>
      <c r="E338" s="248"/>
      <c r="F338" s="248"/>
      <c r="G338" s="248"/>
      <c r="H338" s="248"/>
      <c r="I338" s="328"/>
      <c r="J338" s="351"/>
      <c r="K338" s="27" t="s">
        <v>9</v>
      </c>
      <c r="L338" s="27" t="s">
        <v>10</v>
      </c>
      <c r="M338" s="43" t="s">
        <v>3</v>
      </c>
      <c r="N338" s="27" t="s">
        <v>9</v>
      </c>
      <c r="O338" s="27" t="s">
        <v>10</v>
      </c>
      <c r="P338" s="25" t="s">
        <v>3</v>
      </c>
      <c r="Q338" s="321"/>
      <c r="R338" s="322" t="s">
        <v>7</v>
      </c>
      <c r="S338" s="323"/>
      <c r="T338" s="323"/>
      <c r="U338" s="324"/>
      <c r="V338" s="12" t="s">
        <v>8</v>
      </c>
      <c r="W338" s="5">
        <v>1</v>
      </c>
      <c r="X338" s="5">
        <v>2</v>
      </c>
    </row>
    <row r="339" spans="1:24" ht="15.75" customHeight="1" x14ac:dyDescent="0.25">
      <c r="A339" s="88">
        <v>1</v>
      </c>
      <c r="B339" s="131" t="s">
        <v>723</v>
      </c>
      <c r="C339" s="29"/>
      <c r="D339" s="30"/>
      <c r="E339" s="30"/>
      <c r="F339" s="30"/>
      <c r="G339" s="30"/>
      <c r="H339" s="30"/>
      <c r="I339" s="30"/>
      <c r="J339" s="31" t="e">
        <f>((AVERAGE(C339:H339))*72%)+I339*8%</f>
        <v>#DIV/0!</v>
      </c>
      <c r="K339" s="30"/>
      <c r="L339" s="30"/>
      <c r="M339" s="31" t="e">
        <f>(AVERAGE(K339:L339))*10%</f>
        <v>#DIV/0!</v>
      </c>
      <c r="N339" s="30"/>
      <c r="O339" s="30"/>
      <c r="P339" s="31" t="e">
        <f>(AVERAGE(N339:O339))*10%</f>
        <v>#DIV/0!</v>
      </c>
      <c r="Q339" s="30"/>
      <c r="R339" s="367" t="e">
        <f>IF(V339&lt;65,"BAJO",IF(V339&lt;=79,"BASICO",IF(V339&lt;=89,"ALTO",IF(V339&lt;=100,"SUPERIOR"))))</f>
        <v>#DIV/0!</v>
      </c>
      <c r="S339" s="368"/>
      <c r="T339" s="368"/>
      <c r="U339" s="376"/>
      <c r="V339" s="51" t="e">
        <f>J339+M339+P339</f>
        <v>#DIV/0!</v>
      </c>
      <c r="W339" s="10"/>
      <c r="X339" s="10"/>
    </row>
    <row r="340" spans="1:24" ht="15.75" customHeight="1" x14ac:dyDescent="0.25">
      <c r="A340" s="38">
        <v>2</v>
      </c>
      <c r="B340" s="125" t="s">
        <v>724</v>
      </c>
      <c r="C340" s="26"/>
      <c r="D340" s="8"/>
      <c r="E340" s="8"/>
      <c r="F340" s="8"/>
      <c r="G340" s="8"/>
      <c r="H340" s="8"/>
      <c r="I340" s="9"/>
      <c r="J340" s="15" t="e">
        <f t="shared" ref="J340:J384" si="32">((AVERAGE(C340:H340))*72%)+I340*8%</f>
        <v>#DIV/0!</v>
      </c>
      <c r="K340" s="8"/>
      <c r="L340" s="8"/>
      <c r="M340" s="15" t="e">
        <f t="shared" ref="M340:M384" si="33">(AVERAGE(K340:L340))*10%</f>
        <v>#DIV/0!</v>
      </c>
      <c r="N340" s="8"/>
      <c r="O340" s="8"/>
      <c r="P340" s="15" t="e">
        <f t="shared" ref="P340:P384" si="34">(AVERAGE(N340:O340))*10%</f>
        <v>#DIV/0!</v>
      </c>
      <c r="Q340" s="11"/>
      <c r="R340" s="359" t="e">
        <f t="shared" ref="R340:R384" si="35">IF(V340&lt;65,"BAJO",IF(V340&lt;=79,"BASICO",IF(V340&lt;=89,"ALTO",IF(V340&lt;=100,"SUPERIOR"))))</f>
        <v>#DIV/0!</v>
      </c>
      <c r="S340" s="360"/>
      <c r="T340" s="360"/>
      <c r="U340" s="377"/>
      <c r="V340" s="51" t="e">
        <f t="shared" ref="V340:V384" si="36">J340+M340+P340</f>
        <v>#DIV/0!</v>
      </c>
      <c r="W340" s="10"/>
      <c r="X340" s="10"/>
    </row>
    <row r="341" spans="1:24" ht="15.75" customHeight="1" x14ac:dyDescent="0.25">
      <c r="A341" s="38">
        <v>3</v>
      </c>
      <c r="B341" s="125" t="s">
        <v>725</v>
      </c>
      <c r="C341" s="26"/>
      <c r="D341" s="8"/>
      <c r="E341" s="8"/>
      <c r="F341" s="8"/>
      <c r="G341" s="8"/>
      <c r="H341" s="8"/>
      <c r="I341" s="9"/>
      <c r="J341" s="15" t="e">
        <f t="shared" si="32"/>
        <v>#DIV/0!</v>
      </c>
      <c r="K341" s="8"/>
      <c r="L341" s="8"/>
      <c r="M341" s="15" t="e">
        <f t="shared" si="33"/>
        <v>#DIV/0!</v>
      </c>
      <c r="N341" s="8"/>
      <c r="O341" s="8"/>
      <c r="P341" s="15" t="e">
        <f t="shared" si="34"/>
        <v>#DIV/0!</v>
      </c>
      <c r="Q341" s="11"/>
      <c r="R341" s="359" t="e">
        <f t="shared" si="35"/>
        <v>#DIV/0!</v>
      </c>
      <c r="S341" s="360"/>
      <c r="T341" s="360"/>
      <c r="U341" s="377"/>
      <c r="V341" s="51" t="e">
        <f t="shared" si="36"/>
        <v>#DIV/0!</v>
      </c>
      <c r="W341" s="10"/>
      <c r="X341" s="10"/>
    </row>
    <row r="342" spans="1:24" ht="15.75" customHeight="1" x14ac:dyDescent="0.25">
      <c r="A342" s="38">
        <v>4</v>
      </c>
      <c r="B342" s="125" t="s">
        <v>726</v>
      </c>
      <c r="C342" s="26"/>
      <c r="D342" s="8"/>
      <c r="E342" s="8"/>
      <c r="F342" s="8"/>
      <c r="G342" s="8"/>
      <c r="H342" s="8"/>
      <c r="I342" s="8"/>
      <c r="J342" s="15" t="e">
        <f t="shared" si="32"/>
        <v>#DIV/0!</v>
      </c>
      <c r="K342" s="8"/>
      <c r="L342" s="8"/>
      <c r="M342" s="15" t="e">
        <f t="shared" si="33"/>
        <v>#DIV/0!</v>
      </c>
      <c r="N342" s="8"/>
      <c r="O342" s="8"/>
      <c r="P342" s="15" t="e">
        <f t="shared" si="34"/>
        <v>#DIV/0!</v>
      </c>
      <c r="Q342" s="11"/>
      <c r="R342" s="359" t="e">
        <f t="shared" si="35"/>
        <v>#DIV/0!</v>
      </c>
      <c r="S342" s="360"/>
      <c r="T342" s="360"/>
      <c r="U342" s="377"/>
      <c r="V342" s="51" t="e">
        <f t="shared" si="36"/>
        <v>#DIV/0!</v>
      </c>
      <c r="W342" s="10"/>
      <c r="X342" s="10"/>
    </row>
    <row r="343" spans="1:24" ht="15.75" customHeight="1" x14ac:dyDescent="0.25">
      <c r="A343" s="38">
        <v>5</v>
      </c>
      <c r="B343" s="125" t="s">
        <v>727</v>
      </c>
      <c r="C343" s="26"/>
      <c r="D343" s="8"/>
      <c r="E343" s="8"/>
      <c r="F343" s="8"/>
      <c r="G343" s="8"/>
      <c r="H343" s="8"/>
      <c r="I343" s="8"/>
      <c r="J343" s="15" t="e">
        <f t="shared" si="32"/>
        <v>#DIV/0!</v>
      </c>
      <c r="K343" s="8"/>
      <c r="L343" s="8"/>
      <c r="M343" s="15" t="e">
        <f t="shared" si="33"/>
        <v>#DIV/0!</v>
      </c>
      <c r="N343" s="8"/>
      <c r="O343" s="8"/>
      <c r="P343" s="15" t="e">
        <f t="shared" si="34"/>
        <v>#DIV/0!</v>
      </c>
      <c r="Q343" s="10"/>
      <c r="R343" s="359" t="e">
        <f t="shared" si="35"/>
        <v>#DIV/0!</v>
      </c>
      <c r="S343" s="360"/>
      <c r="T343" s="360"/>
      <c r="U343" s="377"/>
      <c r="V343" s="51" t="e">
        <f t="shared" si="36"/>
        <v>#DIV/0!</v>
      </c>
      <c r="W343" s="10"/>
      <c r="X343" s="10"/>
    </row>
    <row r="344" spans="1:24" ht="15.75" customHeight="1" x14ac:dyDescent="0.25">
      <c r="A344" s="38">
        <v>6</v>
      </c>
      <c r="B344" s="125" t="s">
        <v>728</v>
      </c>
      <c r="C344" s="26"/>
      <c r="D344" s="8"/>
      <c r="E344" s="8"/>
      <c r="F344" s="8"/>
      <c r="G344" s="8"/>
      <c r="H344" s="8"/>
      <c r="I344" s="8"/>
      <c r="J344" s="15" t="e">
        <f t="shared" si="32"/>
        <v>#DIV/0!</v>
      </c>
      <c r="K344" s="8"/>
      <c r="L344" s="8"/>
      <c r="M344" s="15" t="e">
        <f t="shared" si="33"/>
        <v>#DIV/0!</v>
      </c>
      <c r="N344" s="8"/>
      <c r="O344" s="8"/>
      <c r="P344" s="15" t="e">
        <f t="shared" si="34"/>
        <v>#DIV/0!</v>
      </c>
      <c r="Q344" s="10"/>
      <c r="R344" s="359" t="e">
        <f t="shared" si="35"/>
        <v>#DIV/0!</v>
      </c>
      <c r="S344" s="360"/>
      <c r="T344" s="360"/>
      <c r="U344" s="377"/>
      <c r="V344" s="51" t="e">
        <f t="shared" si="36"/>
        <v>#DIV/0!</v>
      </c>
      <c r="W344" s="10"/>
      <c r="X344" s="10"/>
    </row>
    <row r="345" spans="1:24" ht="15.75" customHeight="1" x14ac:dyDescent="0.25">
      <c r="A345" s="38">
        <v>7</v>
      </c>
      <c r="B345" s="125" t="s">
        <v>729</v>
      </c>
      <c r="C345" s="26"/>
      <c r="D345" s="8"/>
      <c r="E345" s="8"/>
      <c r="F345" s="8"/>
      <c r="G345" s="8"/>
      <c r="H345" s="8"/>
      <c r="I345" s="8"/>
      <c r="J345" s="15" t="e">
        <f t="shared" si="32"/>
        <v>#DIV/0!</v>
      </c>
      <c r="K345" s="8"/>
      <c r="L345" s="8"/>
      <c r="M345" s="15" t="e">
        <f t="shared" si="33"/>
        <v>#DIV/0!</v>
      </c>
      <c r="N345" s="8"/>
      <c r="O345" s="8"/>
      <c r="P345" s="15" t="e">
        <f t="shared" si="34"/>
        <v>#DIV/0!</v>
      </c>
      <c r="Q345" s="10"/>
      <c r="R345" s="359" t="e">
        <f t="shared" si="35"/>
        <v>#DIV/0!</v>
      </c>
      <c r="S345" s="360"/>
      <c r="T345" s="360"/>
      <c r="U345" s="377"/>
      <c r="V345" s="51" t="e">
        <f t="shared" si="36"/>
        <v>#DIV/0!</v>
      </c>
      <c r="W345" s="10"/>
      <c r="X345" s="10"/>
    </row>
    <row r="346" spans="1:24" ht="15.75" customHeight="1" x14ac:dyDescent="0.25">
      <c r="A346" s="38">
        <v>8</v>
      </c>
      <c r="B346" s="125" t="s">
        <v>730</v>
      </c>
      <c r="C346" s="26"/>
      <c r="D346" s="8"/>
      <c r="E346" s="8"/>
      <c r="F346" s="8"/>
      <c r="G346" s="8"/>
      <c r="H346" s="8"/>
      <c r="I346" s="8"/>
      <c r="J346" s="15" t="e">
        <f t="shared" si="32"/>
        <v>#DIV/0!</v>
      </c>
      <c r="K346" s="8"/>
      <c r="L346" s="8"/>
      <c r="M346" s="15" t="e">
        <f t="shared" si="33"/>
        <v>#DIV/0!</v>
      </c>
      <c r="N346" s="8"/>
      <c r="O346" s="8"/>
      <c r="P346" s="15" t="e">
        <f t="shared" si="34"/>
        <v>#DIV/0!</v>
      </c>
      <c r="Q346" s="10"/>
      <c r="R346" s="359" t="e">
        <f t="shared" si="35"/>
        <v>#DIV/0!</v>
      </c>
      <c r="S346" s="360"/>
      <c r="T346" s="360"/>
      <c r="U346" s="377"/>
      <c r="V346" s="51" t="e">
        <f t="shared" si="36"/>
        <v>#DIV/0!</v>
      </c>
      <c r="W346" s="10"/>
      <c r="X346" s="10"/>
    </row>
    <row r="347" spans="1:24" ht="15.75" customHeight="1" x14ac:dyDescent="0.25">
      <c r="A347" s="38">
        <v>9</v>
      </c>
      <c r="B347" s="125" t="s">
        <v>731</v>
      </c>
      <c r="C347" s="26"/>
      <c r="D347" s="8"/>
      <c r="E347" s="8"/>
      <c r="F347" s="8"/>
      <c r="G347" s="8"/>
      <c r="H347" s="8"/>
      <c r="I347" s="8"/>
      <c r="J347" s="15" t="e">
        <f t="shared" si="32"/>
        <v>#DIV/0!</v>
      </c>
      <c r="K347" s="8"/>
      <c r="L347" s="8"/>
      <c r="M347" s="15" t="e">
        <f t="shared" si="33"/>
        <v>#DIV/0!</v>
      </c>
      <c r="N347" s="8"/>
      <c r="O347" s="8"/>
      <c r="P347" s="15" t="e">
        <f t="shared" si="34"/>
        <v>#DIV/0!</v>
      </c>
      <c r="Q347" s="10"/>
      <c r="R347" s="359" t="e">
        <f t="shared" si="35"/>
        <v>#DIV/0!</v>
      </c>
      <c r="S347" s="360"/>
      <c r="T347" s="360"/>
      <c r="U347" s="377"/>
      <c r="V347" s="51" t="e">
        <f t="shared" si="36"/>
        <v>#DIV/0!</v>
      </c>
      <c r="W347" s="10"/>
      <c r="X347" s="10"/>
    </row>
    <row r="348" spans="1:24" ht="15.75" customHeight="1" x14ac:dyDescent="0.25">
      <c r="A348" s="38">
        <v>10</v>
      </c>
      <c r="B348" s="125" t="s">
        <v>732</v>
      </c>
      <c r="C348" s="26"/>
      <c r="D348" s="8"/>
      <c r="E348" s="8"/>
      <c r="F348" s="8"/>
      <c r="G348" s="8"/>
      <c r="H348" s="8"/>
      <c r="I348" s="8"/>
      <c r="J348" s="15" t="e">
        <f t="shared" si="32"/>
        <v>#DIV/0!</v>
      </c>
      <c r="K348" s="8"/>
      <c r="L348" s="8"/>
      <c r="M348" s="15" t="e">
        <f t="shared" si="33"/>
        <v>#DIV/0!</v>
      </c>
      <c r="N348" s="8"/>
      <c r="O348" s="8"/>
      <c r="P348" s="15" t="e">
        <f t="shared" si="34"/>
        <v>#DIV/0!</v>
      </c>
      <c r="Q348" s="10"/>
      <c r="R348" s="359" t="e">
        <f t="shared" si="35"/>
        <v>#DIV/0!</v>
      </c>
      <c r="S348" s="360"/>
      <c r="T348" s="360"/>
      <c r="U348" s="377"/>
      <c r="V348" s="51" t="e">
        <f t="shared" si="36"/>
        <v>#DIV/0!</v>
      </c>
      <c r="W348" s="10"/>
      <c r="X348" s="10"/>
    </row>
    <row r="349" spans="1:24" ht="15.75" customHeight="1" x14ac:dyDescent="0.25">
      <c r="A349" s="38">
        <v>11</v>
      </c>
      <c r="B349" s="125" t="s">
        <v>733</v>
      </c>
      <c r="C349" s="26"/>
      <c r="D349" s="8"/>
      <c r="E349" s="8"/>
      <c r="F349" s="8"/>
      <c r="G349" s="8"/>
      <c r="H349" s="8"/>
      <c r="I349" s="8"/>
      <c r="J349" s="15" t="e">
        <f t="shared" si="32"/>
        <v>#DIV/0!</v>
      </c>
      <c r="K349" s="8"/>
      <c r="L349" s="8"/>
      <c r="M349" s="15" t="e">
        <f t="shared" si="33"/>
        <v>#DIV/0!</v>
      </c>
      <c r="N349" s="8"/>
      <c r="O349" s="8"/>
      <c r="P349" s="15" t="e">
        <f t="shared" si="34"/>
        <v>#DIV/0!</v>
      </c>
      <c r="Q349" s="10"/>
      <c r="R349" s="359" t="e">
        <f t="shared" si="35"/>
        <v>#DIV/0!</v>
      </c>
      <c r="S349" s="360"/>
      <c r="T349" s="360"/>
      <c r="U349" s="377"/>
      <c r="V349" s="51" t="e">
        <f t="shared" si="36"/>
        <v>#DIV/0!</v>
      </c>
      <c r="W349" s="10"/>
      <c r="X349" s="10"/>
    </row>
    <row r="350" spans="1:24" ht="15.75" customHeight="1" x14ac:dyDescent="0.25">
      <c r="A350" s="38">
        <v>12</v>
      </c>
      <c r="B350" s="125" t="s">
        <v>734</v>
      </c>
      <c r="C350" s="26"/>
      <c r="D350" s="8"/>
      <c r="E350" s="8"/>
      <c r="F350" s="8"/>
      <c r="G350" s="8"/>
      <c r="H350" s="8"/>
      <c r="I350" s="8"/>
      <c r="J350" s="15" t="e">
        <f t="shared" si="32"/>
        <v>#DIV/0!</v>
      </c>
      <c r="K350" s="8"/>
      <c r="L350" s="8"/>
      <c r="M350" s="15" t="e">
        <f t="shared" si="33"/>
        <v>#DIV/0!</v>
      </c>
      <c r="N350" s="8"/>
      <c r="O350" s="8"/>
      <c r="P350" s="15" t="e">
        <f t="shared" si="34"/>
        <v>#DIV/0!</v>
      </c>
      <c r="Q350" s="10"/>
      <c r="R350" s="359" t="e">
        <f t="shared" si="35"/>
        <v>#DIV/0!</v>
      </c>
      <c r="S350" s="360"/>
      <c r="T350" s="360"/>
      <c r="U350" s="377"/>
      <c r="V350" s="51" t="e">
        <f t="shared" si="36"/>
        <v>#DIV/0!</v>
      </c>
      <c r="W350" s="10"/>
      <c r="X350" s="10"/>
    </row>
    <row r="351" spans="1:24" ht="15.75" customHeight="1" x14ac:dyDescent="0.25">
      <c r="A351" s="38">
        <v>13</v>
      </c>
      <c r="B351" s="125" t="s">
        <v>735</v>
      </c>
      <c r="C351" s="26"/>
      <c r="D351" s="8"/>
      <c r="E351" s="8"/>
      <c r="F351" s="8"/>
      <c r="G351" s="8"/>
      <c r="H351" s="8"/>
      <c r="I351" s="8"/>
      <c r="J351" s="15" t="e">
        <f t="shared" si="32"/>
        <v>#DIV/0!</v>
      </c>
      <c r="K351" s="8"/>
      <c r="L351" s="8"/>
      <c r="M351" s="15" t="e">
        <f t="shared" si="33"/>
        <v>#DIV/0!</v>
      </c>
      <c r="N351" s="8"/>
      <c r="O351" s="8"/>
      <c r="P351" s="15" t="e">
        <f t="shared" si="34"/>
        <v>#DIV/0!</v>
      </c>
      <c r="Q351" s="10"/>
      <c r="R351" s="359" t="e">
        <f t="shared" si="35"/>
        <v>#DIV/0!</v>
      </c>
      <c r="S351" s="360"/>
      <c r="T351" s="360"/>
      <c r="U351" s="377"/>
      <c r="V351" s="51" t="e">
        <f t="shared" si="36"/>
        <v>#DIV/0!</v>
      </c>
      <c r="W351" s="10"/>
      <c r="X351" s="10"/>
    </row>
    <row r="352" spans="1:24" ht="15.75" customHeight="1" x14ac:dyDescent="0.25">
      <c r="A352" s="38">
        <v>14</v>
      </c>
      <c r="B352" s="125" t="s">
        <v>737</v>
      </c>
      <c r="C352" s="26"/>
      <c r="D352" s="8"/>
      <c r="E352" s="8"/>
      <c r="F352" s="8"/>
      <c r="G352" s="8"/>
      <c r="H352" s="8"/>
      <c r="I352" s="8"/>
      <c r="J352" s="15" t="e">
        <f t="shared" si="32"/>
        <v>#DIV/0!</v>
      </c>
      <c r="K352" s="8"/>
      <c r="L352" s="8"/>
      <c r="M352" s="15" t="e">
        <f t="shared" si="33"/>
        <v>#DIV/0!</v>
      </c>
      <c r="N352" s="8"/>
      <c r="O352" s="8"/>
      <c r="P352" s="15" t="e">
        <f t="shared" si="34"/>
        <v>#DIV/0!</v>
      </c>
      <c r="Q352" s="10"/>
      <c r="R352" s="359" t="e">
        <f t="shared" si="35"/>
        <v>#DIV/0!</v>
      </c>
      <c r="S352" s="360"/>
      <c r="T352" s="360"/>
      <c r="U352" s="377"/>
      <c r="V352" s="51" t="e">
        <f t="shared" si="36"/>
        <v>#DIV/0!</v>
      </c>
      <c r="W352" s="10"/>
      <c r="X352" s="10"/>
    </row>
    <row r="353" spans="1:24" ht="15.75" customHeight="1" x14ac:dyDescent="0.25">
      <c r="A353" s="38">
        <v>15</v>
      </c>
      <c r="B353" s="122" t="s">
        <v>738</v>
      </c>
      <c r="C353" s="26"/>
      <c r="D353" s="8"/>
      <c r="E353" s="8"/>
      <c r="F353" s="8"/>
      <c r="G353" s="8"/>
      <c r="H353" s="8"/>
      <c r="I353" s="8"/>
      <c r="J353" s="15" t="e">
        <f t="shared" si="32"/>
        <v>#DIV/0!</v>
      </c>
      <c r="K353" s="8"/>
      <c r="L353" s="8"/>
      <c r="M353" s="15" t="e">
        <f t="shared" si="33"/>
        <v>#DIV/0!</v>
      </c>
      <c r="N353" s="8"/>
      <c r="O353" s="8"/>
      <c r="P353" s="15" t="e">
        <f t="shared" si="34"/>
        <v>#DIV/0!</v>
      </c>
      <c r="Q353" s="10"/>
      <c r="R353" s="359" t="e">
        <f t="shared" si="35"/>
        <v>#DIV/0!</v>
      </c>
      <c r="S353" s="360"/>
      <c r="T353" s="360"/>
      <c r="U353" s="377"/>
      <c r="V353" s="51" t="e">
        <f t="shared" si="36"/>
        <v>#DIV/0!</v>
      </c>
      <c r="W353" s="10"/>
      <c r="X353" s="10"/>
    </row>
    <row r="354" spans="1:24" ht="15.75" customHeight="1" x14ac:dyDescent="0.25">
      <c r="A354" s="38">
        <v>16</v>
      </c>
      <c r="B354" s="125" t="s">
        <v>739</v>
      </c>
      <c r="C354" s="26"/>
      <c r="D354" s="8"/>
      <c r="E354" s="8"/>
      <c r="F354" s="8"/>
      <c r="G354" s="8"/>
      <c r="H354" s="8"/>
      <c r="I354" s="8"/>
      <c r="J354" s="15" t="e">
        <f t="shared" si="32"/>
        <v>#DIV/0!</v>
      </c>
      <c r="K354" s="8"/>
      <c r="L354" s="8"/>
      <c r="M354" s="15" t="e">
        <f t="shared" si="33"/>
        <v>#DIV/0!</v>
      </c>
      <c r="N354" s="8"/>
      <c r="O354" s="8"/>
      <c r="P354" s="15" t="e">
        <f t="shared" si="34"/>
        <v>#DIV/0!</v>
      </c>
      <c r="Q354" s="10"/>
      <c r="R354" s="359" t="e">
        <f t="shared" si="35"/>
        <v>#DIV/0!</v>
      </c>
      <c r="S354" s="360"/>
      <c r="T354" s="360"/>
      <c r="U354" s="377"/>
      <c r="V354" s="51" t="e">
        <f t="shared" si="36"/>
        <v>#DIV/0!</v>
      </c>
      <c r="W354" s="10"/>
      <c r="X354" s="10"/>
    </row>
    <row r="355" spans="1:24" ht="15.75" customHeight="1" x14ac:dyDescent="0.25">
      <c r="A355" s="38">
        <v>17</v>
      </c>
      <c r="B355" s="125" t="s">
        <v>740</v>
      </c>
      <c r="C355" s="26"/>
      <c r="D355" s="8"/>
      <c r="E355" s="8"/>
      <c r="F355" s="8"/>
      <c r="G355" s="8"/>
      <c r="H355" s="8"/>
      <c r="I355" s="13"/>
      <c r="J355" s="15" t="e">
        <f t="shared" si="32"/>
        <v>#DIV/0!</v>
      </c>
      <c r="K355" s="8"/>
      <c r="L355" s="8"/>
      <c r="M355" s="15" t="e">
        <f t="shared" si="33"/>
        <v>#DIV/0!</v>
      </c>
      <c r="N355" s="8"/>
      <c r="O355" s="8"/>
      <c r="P355" s="15" t="e">
        <f t="shared" si="34"/>
        <v>#DIV/0!</v>
      </c>
      <c r="Q355" s="10"/>
      <c r="R355" s="359" t="e">
        <f t="shared" si="35"/>
        <v>#DIV/0!</v>
      </c>
      <c r="S355" s="360"/>
      <c r="T355" s="360"/>
      <c r="U355" s="377"/>
      <c r="V355" s="51" t="e">
        <f t="shared" si="36"/>
        <v>#DIV/0!</v>
      </c>
      <c r="W355" s="10"/>
      <c r="X355" s="10"/>
    </row>
    <row r="356" spans="1:24" ht="15.75" customHeight="1" x14ac:dyDescent="0.25">
      <c r="A356" s="38">
        <v>18</v>
      </c>
      <c r="B356" s="125" t="s">
        <v>314</v>
      </c>
      <c r="C356" s="26"/>
      <c r="D356" s="8"/>
      <c r="E356" s="8"/>
      <c r="F356" s="8"/>
      <c r="G356" s="8"/>
      <c r="H356" s="8"/>
      <c r="I356" s="8"/>
      <c r="J356" s="15" t="e">
        <f t="shared" si="32"/>
        <v>#DIV/0!</v>
      </c>
      <c r="K356" s="8"/>
      <c r="L356" s="8"/>
      <c r="M356" s="15" t="e">
        <f t="shared" si="33"/>
        <v>#DIV/0!</v>
      </c>
      <c r="N356" s="8"/>
      <c r="O356" s="8"/>
      <c r="P356" s="15" t="e">
        <f t="shared" si="34"/>
        <v>#DIV/0!</v>
      </c>
      <c r="Q356" s="10"/>
      <c r="R356" s="359" t="e">
        <f t="shared" si="35"/>
        <v>#DIV/0!</v>
      </c>
      <c r="S356" s="360"/>
      <c r="T356" s="360"/>
      <c r="U356" s="377"/>
      <c r="V356" s="51" t="e">
        <f t="shared" si="36"/>
        <v>#DIV/0!</v>
      </c>
      <c r="W356" s="10"/>
      <c r="X356" s="10"/>
    </row>
    <row r="357" spans="1:24" ht="15.75" customHeight="1" x14ac:dyDescent="0.25">
      <c r="A357" s="38">
        <v>19</v>
      </c>
      <c r="B357" s="125" t="s">
        <v>742</v>
      </c>
      <c r="C357" s="26"/>
      <c r="D357" s="8"/>
      <c r="E357" s="8"/>
      <c r="F357" s="8"/>
      <c r="G357" s="8"/>
      <c r="H357" s="8"/>
      <c r="I357" s="8"/>
      <c r="J357" s="15" t="e">
        <f t="shared" si="32"/>
        <v>#DIV/0!</v>
      </c>
      <c r="K357" s="8"/>
      <c r="L357" s="8"/>
      <c r="M357" s="15" t="e">
        <f t="shared" si="33"/>
        <v>#DIV/0!</v>
      </c>
      <c r="N357" s="8"/>
      <c r="O357" s="8"/>
      <c r="P357" s="15" t="e">
        <f t="shared" si="34"/>
        <v>#DIV/0!</v>
      </c>
      <c r="Q357" s="10"/>
      <c r="R357" s="359" t="e">
        <f t="shared" si="35"/>
        <v>#DIV/0!</v>
      </c>
      <c r="S357" s="360"/>
      <c r="T357" s="360"/>
      <c r="U357" s="377"/>
      <c r="V357" s="51" t="e">
        <f t="shared" si="36"/>
        <v>#DIV/0!</v>
      </c>
      <c r="W357" s="10"/>
      <c r="X357" s="10"/>
    </row>
    <row r="358" spans="1:24" ht="15.75" customHeight="1" x14ac:dyDescent="0.25">
      <c r="A358" s="38">
        <v>20</v>
      </c>
      <c r="B358" s="125" t="s">
        <v>743</v>
      </c>
      <c r="C358" s="26"/>
      <c r="D358" s="8"/>
      <c r="E358" s="8"/>
      <c r="F358" s="8"/>
      <c r="G358" s="8"/>
      <c r="H358" s="8"/>
      <c r="I358" s="8"/>
      <c r="J358" s="15" t="e">
        <f t="shared" si="32"/>
        <v>#DIV/0!</v>
      </c>
      <c r="K358" s="8"/>
      <c r="L358" s="8"/>
      <c r="M358" s="15" t="e">
        <f t="shared" si="33"/>
        <v>#DIV/0!</v>
      </c>
      <c r="N358" s="8"/>
      <c r="O358" s="8"/>
      <c r="P358" s="15" t="e">
        <f t="shared" si="34"/>
        <v>#DIV/0!</v>
      </c>
      <c r="Q358" s="10"/>
      <c r="R358" s="359" t="e">
        <f t="shared" si="35"/>
        <v>#DIV/0!</v>
      </c>
      <c r="S358" s="360"/>
      <c r="T358" s="360"/>
      <c r="U358" s="377"/>
      <c r="V358" s="51" t="e">
        <f t="shared" si="36"/>
        <v>#DIV/0!</v>
      </c>
      <c r="W358" s="10"/>
      <c r="X358" s="10"/>
    </row>
    <row r="359" spans="1:24" ht="15.75" customHeight="1" x14ac:dyDescent="0.25">
      <c r="A359" s="38">
        <v>21</v>
      </c>
      <c r="B359" s="125" t="s">
        <v>744</v>
      </c>
      <c r="C359" s="26"/>
      <c r="D359" s="8"/>
      <c r="E359" s="8"/>
      <c r="F359" s="8"/>
      <c r="G359" s="8"/>
      <c r="H359" s="8"/>
      <c r="I359" s="8"/>
      <c r="J359" s="15" t="e">
        <f t="shared" si="32"/>
        <v>#DIV/0!</v>
      </c>
      <c r="K359" s="8"/>
      <c r="L359" s="8"/>
      <c r="M359" s="15" t="e">
        <f t="shared" si="33"/>
        <v>#DIV/0!</v>
      </c>
      <c r="N359" s="8"/>
      <c r="O359" s="8"/>
      <c r="P359" s="15" t="e">
        <f t="shared" si="34"/>
        <v>#DIV/0!</v>
      </c>
      <c r="Q359" s="10"/>
      <c r="R359" s="359" t="e">
        <f t="shared" si="35"/>
        <v>#DIV/0!</v>
      </c>
      <c r="S359" s="360"/>
      <c r="T359" s="360"/>
      <c r="U359" s="377"/>
      <c r="V359" s="51" t="e">
        <f t="shared" si="36"/>
        <v>#DIV/0!</v>
      </c>
      <c r="W359" s="10"/>
      <c r="X359" s="10"/>
    </row>
    <row r="360" spans="1:24" ht="15.75" customHeight="1" x14ac:dyDescent="0.25">
      <c r="A360" s="38">
        <v>22</v>
      </c>
      <c r="B360" s="125" t="s">
        <v>745</v>
      </c>
      <c r="C360" s="26"/>
      <c r="D360" s="8"/>
      <c r="E360" s="8"/>
      <c r="F360" s="8"/>
      <c r="G360" s="8"/>
      <c r="H360" s="8"/>
      <c r="I360" s="8"/>
      <c r="J360" s="15" t="e">
        <f t="shared" si="32"/>
        <v>#DIV/0!</v>
      </c>
      <c r="K360" s="8"/>
      <c r="L360" s="8"/>
      <c r="M360" s="15" t="e">
        <f t="shared" si="33"/>
        <v>#DIV/0!</v>
      </c>
      <c r="N360" s="8"/>
      <c r="O360" s="8"/>
      <c r="P360" s="15" t="e">
        <f t="shared" si="34"/>
        <v>#DIV/0!</v>
      </c>
      <c r="Q360" s="10"/>
      <c r="R360" s="359" t="e">
        <f t="shared" si="35"/>
        <v>#DIV/0!</v>
      </c>
      <c r="S360" s="360"/>
      <c r="T360" s="360"/>
      <c r="U360" s="377"/>
      <c r="V360" s="51" t="e">
        <f t="shared" si="36"/>
        <v>#DIV/0!</v>
      </c>
      <c r="W360" s="10"/>
      <c r="X360" s="10"/>
    </row>
    <row r="361" spans="1:24" ht="15.75" customHeight="1" x14ac:dyDescent="0.25">
      <c r="A361" s="38">
        <v>23</v>
      </c>
      <c r="B361" s="125" t="s">
        <v>746</v>
      </c>
      <c r="C361" s="26"/>
      <c r="D361" s="8"/>
      <c r="E361" s="8"/>
      <c r="F361" s="8"/>
      <c r="G361" s="8"/>
      <c r="H361" s="8"/>
      <c r="I361" s="8"/>
      <c r="J361" s="15" t="e">
        <f t="shared" si="32"/>
        <v>#DIV/0!</v>
      </c>
      <c r="K361" s="8"/>
      <c r="L361" s="8"/>
      <c r="M361" s="15" t="e">
        <f t="shared" si="33"/>
        <v>#DIV/0!</v>
      </c>
      <c r="N361" s="8"/>
      <c r="O361" s="8"/>
      <c r="P361" s="15" t="e">
        <f t="shared" si="34"/>
        <v>#DIV/0!</v>
      </c>
      <c r="Q361" s="10"/>
      <c r="R361" s="359" t="e">
        <f t="shared" si="35"/>
        <v>#DIV/0!</v>
      </c>
      <c r="S361" s="360"/>
      <c r="T361" s="360"/>
      <c r="U361" s="377"/>
      <c r="V361" s="51" t="e">
        <f t="shared" si="36"/>
        <v>#DIV/0!</v>
      </c>
      <c r="W361" s="10"/>
      <c r="X361" s="10"/>
    </row>
    <row r="362" spans="1:24" ht="15.75" customHeight="1" x14ac:dyDescent="0.25">
      <c r="A362" s="38">
        <v>24</v>
      </c>
      <c r="B362" s="125" t="s">
        <v>747</v>
      </c>
      <c r="C362" s="26"/>
      <c r="D362" s="8"/>
      <c r="E362" s="8"/>
      <c r="F362" s="8"/>
      <c r="G362" s="8"/>
      <c r="H362" s="8"/>
      <c r="I362" s="8"/>
      <c r="J362" s="15" t="e">
        <f t="shared" si="32"/>
        <v>#DIV/0!</v>
      </c>
      <c r="K362" s="8"/>
      <c r="L362" s="8"/>
      <c r="M362" s="15" t="e">
        <f t="shared" si="33"/>
        <v>#DIV/0!</v>
      </c>
      <c r="N362" s="8"/>
      <c r="O362" s="8"/>
      <c r="P362" s="15" t="e">
        <f t="shared" si="34"/>
        <v>#DIV/0!</v>
      </c>
      <c r="Q362" s="10"/>
      <c r="R362" s="359" t="e">
        <f t="shared" si="35"/>
        <v>#DIV/0!</v>
      </c>
      <c r="S362" s="360"/>
      <c r="T362" s="360"/>
      <c r="U362" s="377"/>
      <c r="V362" s="51" t="e">
        <f t="shared" si="36"/>
        <v>#DIV/0!</v>
      </c>
      <c r="W362" s="10"/>
      <c r="X362" s="10"/>
    </row>
    <row r="363" spans="1:24" ht="15.75" customHeight="1" x14ac:dyDescent="0.25">
      <c r="A363" s="38">
        <v>25</v>
      </c>
      <c r="B363" s="125" t="s">
        <v>748</v>
      </c>
      <c r="C363" s="26"/>
      <c r="D363" s="8"/>
      <c r="E363" s="8"/>
      <c r="F363" s="8"/>
      <c r="G363" s="8"/>
      <c r="H363" s="8"/>
      <c r="I363" s="8"/>
      <c r="J363" s="15" t="e">
        <f t="shared" si="32"/>
        <v>#DIV/0!</v>
      </c>
      <c r="K363" s="8"/>
      <c r="L363" s="8"/>
      <c r="M363" s="15" t="e">
        <f t="shared" si="33"/>
        <v>#DIV/0!</v>
      </c>
      <c r="N363" s="8"/>
      <c r="O363" s="8"/>
      <c r="P363" s="15" t="e">
        <f t="shared" si="34"/>
        <v>#DIV/0!</v>
      </c>
      <c r="Q363" s="10"/>
      <c r="R363" s="359" t="e">
        <f t="shared" si="35"/>
        <v>#DIV/0!</v>
      </c>
      <c r="S363" s="360"/>
      <c r="T363" s="360"/>
      <c r="U363" s="377"/>
      <c r="V363" s="51" t="e">
        <f t="shared" si="36"/>
        <v>#DIV/0!</v>
      </c>
      <c r="W363" s="10"/>
      <c r="X363" s="10"/>
    </row>
    <row r="364" spans="1:24" ht="15.75" customHeight="1" x14ac:dyDescent="0.25">
      <c r="A364" s="38">
        <v>26</v>
      </c>
      <c r="B364" s="125" t="s">
        <v>749</v>
      </c>
      <c r="C364" s="26"/>
      <c r="D364" s="8"/>
      <c r="E364" s="8"/>
      <c r="F364" s="8"/>
      <c r="G364" s="8"/>
      <c r="H364" s="8"/>
      <c r="I364" s="8"/>
      <c r="J364" s="15" t="e">
        <f t="shared" si="32"/>
        <v>#DIV/0!</v>
      </c>
      <c r="K364" s="8"/>
      <c r="L364" s="8"/>
      <c r="M364" s="15" t="e">
        <f t="shared" si="33"/>
        <v>#DIV/0!</v>
      </c>
      <c r="N364" s="8"/>
      <c r="O364" s="8"/>
      <c r="P364" s="15" t="e">
        <f t="shared" si="34"/>
        <v>#DIV/0!</v>
      </c>
      <c r="Q364" s="10"/>
      <c r="R364" s="359" t="e">
        <f t="shared" si="35"/>
        <v>#DIV/0!</v>
      </c>
      <c r="S364" s="360"/>
      <c r="T364" s="360"/>
      <c r="U364" s="377"/>
      <c r="V364" s="51" t="e">
        <f t="shared" si="36"/>
        <v>#DIV/0!</v>
      </c>
      <c r="W364" s="10"/>
      <c r="X364" s="10"/>
    </row>
    <row r="365" spans="1:24" ht="15.75" customHeight="1" x14ac:dyDescent="0.25">
      <c r="A365" s="38">
        <v>27</v>
      </c>
      <c r="B365" s="125" t="s">
        <v>750</v>
      </c>
      <c r="C365" s="26"/>
      <c r="D365" s="8"/>
      <c r="E365" s="8"/>
      <c r="F365" s="8"/>
      <c r="G365" s="8"/>
      <c r="H365" s="8"/>
      <c r="I365" s="8"/>
      <c r="J365" s="15" t="e">
        <f t="shared" si="32"/>
        <v>#DIV/0!</v>
      </c>
      <c r="K365" s="8"/>
      <c r="L365" s="8"/>
      <c r="M365" s="15" t="e">
        <f t="shared" si="33"/>
        <v>#DIV/0!</v>
      </c>
      <c r="N365" s="8"/>
      <c r="O365" s="8"/>
      <c r="P365" s="15" t="e">
        <f t="shared" si="34"/>
        <v>#DIV/0!</v>
      </c>
      <c r="Q365" s="10"/>
      <c r="R365" s="359" t="e">
        <f t="shared" si="35"/>
        <v>#DIV/0!</v>
      </c>
      <c r="S365" s="360"/>
      <c r="T365" s="360"/>
      <c r="U365" s="377"/>
      <c r="V365" s="51" t="e">
        <f t="shared" si="36"/>
        <v>#DIV/0!</v>
      </c>
      <c r="W365" s="10"/>
      <c r="X365" s="10"/>
    </row>
    <row r="366" spans="1:24" ht="15.75" customHeight="1" x14ac:dyDescent="0.25">
      <c r="A366" s="38">
        <v>28</v>
      </c>
      <c r="B366" s="125" t="s">
        <v>751</v>
      </c>
      <c r="C366" s="26"/>
      <c r="D366" s="8"/>
      <c r="E366" s="8"/>
      <c r="F366" s="8"/>
      <c r="G366" s="8"/>
      <c r="H366" s="8"/>
      <c r="I366" s="8"/>
      <c r="J366" s="15" t="e">
        <f t="shared" si="32"/>
        <v>#DIV/0!</v>
      </c>
      <c r="K366" s="8"/>
      <c r="L366" s="8"/>
      <c r="M366" s="15" t="e">
        <f t="shared" si="33"/>
        <v>#DIV/0!</v>
      </c>
      <c r="N366" s="8"/>
      <c r="O366" s="8"/>
      <c r="P366" s="15" t="e">
        <f t="shared" si="34"/>
        <v>#DIV/0!</v>
      </c>
      <c r="Q366" s="10"/>
      <c r="R366" s="359" t="e">
        <f t="shared" si="35"/>
        <v>#DIV/0!</v>
      </c>
      <c r="S366" s="360"/>
      <c r="T366" s="360"/>
      <c r="U366" s="377"/>
      <c r="V366" s="51" t="e">
        <f t="shared" si="36"/>
        <v>#DIV/0!</v>
      </c>
      <c r="W366" s="10"/>
      <c r="X366" s="10"/>
    </row>
    <row r="367" spans="1:24" ht="15.75" customHeight="1" x14ac:dyDescent="0.25">
      <c r="A367" s="38">
        <v>29</v>
      </c>
      <c r="B367" s="125" t="s">
        <v>752</v>
      </c>
      <c r="C367" s="26"/>
      <c r="D367" s="8"/>
      <c r="E367" s="8"/>
      <c r="F367" s="8"/>
      <c r="G367" s="8"/>
      <c r="H367" s="8"/>
      <c r="I367" s="8"/>
      <c r="J367" s="15" t="e">
        <f t="shared" si="32"/>
        <v>#DIV/0!</v>
      </c>
      <c r="K367" s="8"/>
      <c r="L367" s="8"/>
      <c r="M367" s="15" t="e">
        <f t="shared" si="33"/>
        <v>#DIV/0!</v>
      </c>
      <c r="N367" s="8"/>
      <c r="O367" s="8"/>
      <c r="P367" s="15" t="e">
        <f t="shared" si="34"/>
        <v>#DIV/0!</v>
      </c>
      <c r="Q367" s="10"/>
      <c r="R367" s="359" t="e">
        <f t="shared" si="35"/>
        <v>#DIV/0!</v>
      </c>
      <c r="S367" s="360"/>
      <c r="T367" s="360"/>
      <c r="U367" s="377"/>
      <c r="V367" s="51" t="e">
        <f t="shared" si="36"/>
        <v>#DIV/0!</v>
      </c>
      <c r="W367" s="10"/>
      <c r="X367" s="10"/>
    </row>
    <row r="368" spans="1:24" ht="15.75" customHeight="1" x14ac:dyDescent="0.25">
      <c r="A368" s="38">
        <v>30</v>
      </c>
      <c r="B368" s="125" t="s">
        <v>753</v>
      </c>
      <c r="C368" s="26"/>
      <c r="D368" s="8"/>
      <c r="E368" s="8"/>
      <c r="F368" s="8"/>
      <c r="G368" s="8"/>
      <c r="H368" s="8"/>
      <c r="I368" s="8"/>
      <c r="J368" s="15" t="e">
        <f t="shared" si="32"/>
        <v>#DIV/0!</v>
      </c>
      <c r="K368" s="8"/>
      <c r="L368" s="8"/>
      <c r="M368" s="15" t="e">
        <f t="shared" si="33"/>
        <v>#DIV/0!</v>
      </c>
      <c r="N368" s="8"/>
      <c r="O368" s="8"/>
      <c r="P368" s="15" t="e">
        <f t="shared" si="34"/>
        <v>#DIV/0!</v>
      </c>
      <c r="Q368" s="10"/>
      <c r="R368" s="359" t="e">
        <f t="shared" si="35"/>
        <v>#DIV/0!</v>
      </c>
      <c r="S368" s="360"/>
      <c r="T368" s="360"/>
      <c r="U368" s="377"/>
      <c r="V368" s="51" t="e">
        <f t="shared" si="36"/>
        <v>#DIV/0!</v>
      </c>
      <c r="W368" s="10"/>
      <c r="X368" s="10"/>
    </row>
    <row r="369" spans="1:24" ht="15.75" customHeight="1" x14ac:dyDescent="0.25">
      <c r="A369" s="38">
        <v>31</v>
      </c>
      <c r="B369" s="180"/>
      <c r="C369" s="26"/>
      <c r="D369" s="8"/>
      <c r="E369" s="8"/>
      <c r="F369" s="8"/>
      <c r="G369" s="8"/>
      <c r="H369" s="8"/>
      <c r="I369" s="8"/>
      <c r="J369" s="15" t="e">
        <f t="shared" si="32"/>
        <v>#DIV/0!</v>
      </c>
      <c r="K369" s="8"/>
      <c r="L369" s="8"/>
      <c r="M369" s="15" t="e">
        <f t="shared" si="33"/>
        <v>#DIV/0!</v>
      </c>
      <c r="N369" s="8"/>
      <c r="O369" s="8"/>
      <c r="P369" s="15" t="e">
        <f t="shared" si="34"/>
        <v>#DIV/0!</v>
      </c>
      <c r="Q369" s="10"/>
      <c r="R369" s="359" t="e">
        <f t="shared" si="35"/>
        <v>#DIV/0!</v>
      </c>
      <c r="S369" s="360"/>
      <c r="T369" s="360"/>
      <c r="U369" s="377"/>
      <c r="V369" s="51" t="e">
        <f t="shared" si="36"/>
        <v>#DIV/0!</v>
      </c>
      <c r="W369" s="10"/>
      <c r="X369" s="10"/>
    </row>
    <row r="370" spans="1:24" ht="15.75" customHeight="1" x14ac:dyDescent="0.25">
      <c r="A370" s="38">
        <v>32</v>
      </c>
      <c r="B370" s="125"/>
      <c r="C370" s="26"/>
      <c r="D370" s="8"/>
      <c r="E370" s="8"/>
      <c r="F370" s="8"/>
      <c r="G370" s="8"/>
      <c r="H370" s="8"/>
      <c r="I370" s="8"/>
      <c r="J370" s="15" t="e">
        <f t="shared" si="32"/>
        <v>#DIV/0!</v>
      </c>
      <c r="K370" s="8"/>
      <c r="L370" s="8"/>
      <c r="M370" s="15" t="e">
        <f t="shared" si="33"/>
        <v>#DIV/0!</v>
      </c>
      <c r="N370" s="8"/>
      <c r="O370" s="8"/>
      <c r="P370" s="15" t="e">
        <f t="shared" si="34"/>
        <v>#DIV/0!</v>
      </c>
      <c r="Q370" s="10"/>
      <c r="R370" s="359" t="e">
        <f t="shared" si="35"/>
        <v>#DIV/0!</v>
      </c>
      <c r="S370" s="360"/>
      <c r="T370" s="360"/>
      <c r="U370" s="377"/>
      <c r="V370" s="51" t="e">
        <f t="shared" si="36"/>
        <v>#DIV/0!</v>
      </c>
      <c r="W370" s="10"/>
      <c r="X370" s="10"/>
    </row>
    <row r="371" spans="1:24" ht="15.75" customHeight="1" x14ac:dyDescent="0.25">
      <c r="A371" s="38">
        <v>33</v>
      </c>
      <c r="B371" s="113"/>
      <c r="C371" s="26"/>
      <c r="D371" s="8"/>
      <c r="E371" s="8"/>
      <c r="F371" s="8"/>
      <c r="G371" s="8"/>
      <c r="H371" s="8"/>
      <c r="I371" s="8"/>
      <c r="J371" s="15" t="e">
        <f t="shared" si="32"/>
        <v>#DIV/0!</v>
      </c>
      <c r="K371" s="8"/>
      <c r="L371" s="8"/>
      <c r="M371" s="15" t="e">
        <f t="shared" si="33"/>
        <v>#DIV/0!</v>
      </c>
      <c r="N371" s="8"/>
      <c r="O371" s="8"/>
      <c r="P371" s="15" t="e">
        <f t="shared" si="34"/>
        <v>#DIV/0!</v>
      </c>
      <c r="Q371" s="10"/>
      <c r="R371" s="359" t="e">
        <f t="shared" si="35"/>
        <v>#DIV/0!</v>
      </c>
      <c r="S371" s="360"/>
      <c r="T371" s="360"/>
      <c r="U371" s="377"/>
      <c r="V371" s="51" t="e">
        <f t="shared" si="36"/>
        <v>#DIV/0!</v>
      </c>
      <c r="W371" s="10"/>
      <c r="X371" s="10"/>
    </row>
    <row r="372" spans="1:24" ht="15.75" customHeight="1" x14ac:dyDescent="0.25">
      <c r="A372" s="38">
        <v>34</v>
      </c>
      <c r="B372" s="113"/>
      <c r="C372" s="26"/>
      <c r="D372" s="8"/>
      <c r="E372" s="8"/>
      <c r="F372" s="8"/>
      <c r="G372" s="8"/>
      <c r="H372" s="8"/>
      <c r="I372" s="8"/>
      <c r="J372" s="15" t="e">
        <f t="shared" si="32"/>
        <v>#DIV/0!</v>
      </c>
      <c r="K372" s="8"/>
      <c r="L372" s="8"/>
      <c r="M372" s="15" t="e">
        <f t="shared" si="33"/>
        <v>#DIV/0!</v>
      </c>
      <c r="N372" s="8"/>
      <c r="O372" s="8"/>
      <c r="P372" s="15" t="e">
        <f t="shared" si="34"/>
        <v>#DIV/0!</v>
      </c>
      <c r="Q372" s="10"/>
      <c r="R372" s="359" t="e">
        <f t="shared" si="35"/>
        <v>#DIV/0!</v>
      </c>
      <c r="S372" s="360"/>
      <c r="T372" s="360"/>
      <c r="U372" s="377"/>
      <c r="V372" s="51" t="e">
        <f t="shared" si="36"/>
        <v>#DIV/0!</v>
      </c>
      <c r="W372" s="10"/>
      <c r="X372" s="10"/>
    </row>
    <row r="373" spans="1:24" ht="15.75" customHeight="1" x14ac:dyDescent="0.25">
      <c r="A373" s="38">
        <v>35</v>
      </c>
      <c r="B373" s="73"/>
      <c r="C373" s="26"/>
      <c r="D373" s="8"/>
      <c r="E373" s="8"/>
      <c r="F373" s="8"/>
      <c r="G373" s="8"/>
      <c r="H373" s="8"/>
      <c r="I373" s="8"/>
      <c r="J373" s="15" t="e">
        <f t="shared" si="32"/>
        <v>#DIV/0!</v>
      </c>
      <c r="K373" s="8"/>
      <c r="L373" s="8"/>
      <c r="M373" s="15" t="e">
        <f t="shared" si="33"/>
        <v>#DIV/0!</v>
      </c>
      <c r="N373" s="8"/>
      <c r="O373" s="8"/>
      <c r="P373" s="15" t="e">
        <f t="shared" si="34"/>
        <v>#DIV/0!</v>
      </c>
      <c r="Q373" s="10"/>
      <c r="R373" s="359" t="e">
        <f t="shared" si="35"/>
        <v>#DIV/0!</v>
      </c>
      <c r="S373" s="360"/>
      <c r="T373" s="360"/>
      <c r="U373" s="377"/>
      <c r="V373" s="51" t="e">
        <f t="shared" si="36"/>
        <v>#DIV/0!</v>
      </c>
      <c r="W373" s="10"/>
      <c r="X373" s="10"/>
    </row>
    <row r="374" spans="1:24" ht="15.75" customHeight="1" x14ac:dyDescent="0.25">
      <c r="A374" s="38">
        <v>36</v>
      </c>
      <c r="B374" s="113"/>
      <c r="C374" s="26"/>
      <c r="D374" s="8"/>
      <c r="E374" s="8"/>
      <c r="F374" s="8"/>
      <c r="G374" s="8"/>
      <c r="H374" s="8"/>
      <c r="I374" s="8"/>
      <c r="J374" s="15" t="e">
        <f t="shared" si="32"/>
        <v>#DIV/0!</v>
      </c>
      <c r="K374" s="8"/>
      <c r="L374" s="8"/>
      <c r="M374" s="15" t="e">
        <f t="shared" si="33"/>
        <v>#DIV/0!</v>
      </c>
      <c r="N374" s="8"/>
      <c r="O374" s="8"/>
      <c r="P374" s="15" t="e">
        <f t="shared" si="34"/>
        <v>#DIV/0!</v>
      </c>
      <c r="Q374" s="10"/>
      <c r="R374" s="359" t="e">
        <f t="shared" si="35"/>
        <v>#DIV/0!</v>
      </c>
      <c r="S374" s="360"/>
      <c r="T374" s="360"/>
      <c r="U374" s="377"/>
      <c r="V374" s="51" t="e">
        <f t="shared" si="36"/>
        <v>#DIV/0!</v>
      </c>
      <c r="W374" s="10"/>
      <c r="X374" s="10"/>
    </row>
    <row r="375" spans="1:24" ht="15.75" customHeight="1" x14ac:dyDescent="0.25">
      <c r="A375" s="38">
        <v>37</v>
      </c>
      <c r="B375" s="113"/>
      <c r="C375" s="26"/>
      <c r="D375" s="8"/>
      <c r="E375" s="8"/>
      <c r="F375" s="8"/>
      <c r="G375" s="8"/>
      <c r="H375" s="8"/>
      <c r="I375" s="8"/>
      <c r="J375" s="15" t="e">
        <f t="shared" si="32"/>
        <v>#DIV/0!</v>
      </c>
      <c r="K375" s="8"/>
      <c r="L375" s="8"/>
      <c r="M375" s="15" t="e">
        <f t="shared" si="33"/>
        <v>#DIV/0!</v>
      </c>
      <c r="N375" s="8"/>
      <c r="O375" s="8"/>
      <c r="P375" s="15" t="e">
        <f t="shared" si="34"/>
        <v>#DIV/0!</v>
      </c>
      <c r="Q375" s="10"/>
      <c r="R375" s="359" t="e">
        <f t="shared" si="35"/>
        <v>#DIV/0!</v>
      </c>
      <c r="S375" s="360"/>
      <c r="T375" s="360"/>
      <c r="U375" s="377"/>
      <c r="V375" s="51" t="e">
        <f t="shared" si="36"/>
        <v>#DIV/0!</v>
      </c>
      <c r="W375" s="10"/>
      <c r="X375" s="10"/>
    </row>
    <row r="376" spans="1:24" ht="15.75" customHeight="1" x14ac:dyDescent="0.25">
      <c r="A376" s="38">
        <v>38</v>
      </c>
      <c r="B376" s="73"/>
      <c r="C376" s="26"/>
      <c r="D376" s="8"/>
      <c r="E376" s="8"/>
      <c r="F376" s="8"/>
      <c r="G376" s="8"/>
      <c r="H376" s="8"/>
      <c r="I376" s="8"/>
      <c r="J376" s="15" t="e">
        <f t="shared" si="32"/>
        <v>#DIV/0!</v>
      </c>
      <c r="K376" s="8"/>
      <c r="L376" s="8"/>
      <c r="M376" s="15" t="e">
        <f t="shared" si="33"/>
        <v>#DIV/0!</v>
      </c>
      <c r="N376" s="8"/>
      <c r="O376" s="8"/>
      <c r="P376" s="15" t="e">
        <f t="shared" si="34"/>
        <v>#DIV/0!</v>
      </c>
      <c r="Q376" s="10"/>
      <c r="R376" s="359" t="e">
        <f t="shared" si="35"/>
        <v>#DIV/0!</v>
      </c>
      <c r="S376" s="360"/>
      <c r="T376" s="360"/>
      <c r="U376" s="377"/>
      <c r="V376" s="51" t="e">
        <f t="shared" si="36"/>
        <v>#DIV/0!</v>
      </c>
      <c r="W376" s="10"/>
      <c r="X376" s="10"/>
    </row>
    <row r="377" spans="1:24" ht="15.75" customHeight="1" x14ac:dyDescent="0.25">
      <c r="A377" s="38">
        <v>39</v>
      </c>
      <c r="B377" s="87"/>
      <c r="C377" s="26"/>
      <c r="D377" s="8"/>
      <c r="E377" s="8"/>
      <c r="F377" s="8"/>
      <c r="G377" s="8"/>
      <c r="H377" s="8"/>
      <c r="I377" s="8"/>
      <c r="J377" s="15" t="e">
        <f t="shared" si="32"/>
        <v>#DIV/0!</v>
      </c>
      <c r="K377" s="8"/>
      <c r="L377" s="8"/>
      <c r="M377" s="15" t="e">
        <f t="shared" si="33"/>
        <v>#DIV/0!</v>
      </c>
      <c r="N377" s="8"/>
      <c r="O377" s="8"/>
      <c r="P377" s="15" t="e">
        <f t="shared" si="34"/>
        <v>#DIV/0!</v>
      </c>
      <c r="Q377" s="10"/>
      <c r="R377" s="359" t="e">
        <f t="shared" si="35"/>
        <v>#DIV/0!</v>
      </c>
      <c r="S377" s="360"/>
      <c r="T377" s="360"/>
      <c r="U377" s="377"/>
      <c r="V377" s="51" t="e">
        <f t="shared" si="36"/>
        <v>#DIV/0!</v>
      </c>
      <c r="W377" s="10"/>
      <c r="X377" s="10"/>
    </row>
    <row r="378" spans="1:24" ht="15.75" customHeight="1" x14ac:dyDescent="0.25">
      <c r="A378" s="38">
        <v>40</v>
      </c>
      <c r="B378" s="35"/>
      <c r="C378" s="26"/>
      <c r="D378" s="8"/>
      <c r="E378" s="8"/>
      <c r="F378" s="8"/>
      <c r="G378" s="8"/>
      <c r="H378" s="8"/>
      <c r="I378" s="8"/>
      <c r="J378" s="15" t="e">
        <f t="shared" si="32"/>
        <v>#DIV/0!</v>
      </c>
      <c r="K378" s="8"/>
      <c r="L378" s="8"/>
      <c r="M378" s="15" t="e">
        <f t="shared" si="33"/>
        <v>#DIV/0!</v>
      </c>
      <c r="N378" s="8"/>
      <c r="O378" s="8"/>
      <c r="P378" s="15" t="e">
        <f t="shared" si="34"/>
        <v>#DIV/0!</v>
      </c>
      <c r="Q378" s="10"/>
      <c r="R378" s="359" t="e">
        <f t="shared" si="35"/>
        <v>#DIV/0!</v>
      </c>
      <c r="S378" s="360"/>
      <c r="T378" s="360"/>
      <c r="U378" s="377"/>
      <c r="V378" s="51" t="e">
        <f t="shared" si="36"/>
        <v>#DIV/0!</v>
      </c>
      <c r="W378" s="10"/>
      <c r="X378" s="10"/>
    </row>
    <row r="379" spans="1:24" ht="15.75" customHeight="1" x14ac:dyDescent="0.25">
      <c r="A379" s="38">
        <v>41</v>
      </c>
      <c r="B379" s="40"/>
      <c r="C379" s="26"/>
      <c r="D379" s="8"/>
      <c r="E379" s="8"/>
      <c r="F379" s="8"/>
      <c r="G379" s="8"/>
      <c r="H379" s="8"/>
      <c r="I379" s="8"/>
      <c r="J379" s="15" t="e">
        <f t="shared" si="32"/>
        <v>#DIV/0!</v>
      </c>
      <c r="K379" s="8"/>
      <c r="L379" s="8"/>
      <c r="M379" s="15" t="e">
        <f t="shared" si="33"/>
        <v>#DIV/0!</v>
      </c>
      <c r="N379" s="8"/>
      <c r="O379" s="8"/>
      <c r="P379" s="15" t="e">
        <f t="shared" si="34"/>
        <v>#DIV/0!</v>
      </c>
      <c r="Q379" s="10"/>
      <c r="R379" s="359" t="e">
        <f t="shared" si="35"/>
        <v>#DIV/0!</v>
      </c>
      <c r="S379" s="360"/>
      <c r="T379" s="360"/>
      <c r="U379" s="377"/>
      <c r="V379" s="51" t="e">
        <f t="shared" si="36"/>
        <v>#DIV/0!</v>
      </c>
      <c r="W379" s="10"/>
      <c r="X379" s="10"/>
    </row>
    <row r="380" spans="1:24" ht="15.75" customHeight="1" x14ac:dyDescent="0.25">
      <c r="A380" s="38">
        <v>42</v>
      </c>
      <c r="B380" s="40"/>
      <c r="C380" s="26"/>
      <c r="D380" s="8"/>
      <c r="E380" s="8"/>
      <c r="F380" s="8"/>
      <c r="G380" s="8"/>
      <c r="H380" s="8"/>
      <c r="I380" s="8"/>
      <c r="J380" s="15" t="e">
        <f t="shared" si="32"/>
        <v>#DIV/0!</v>
      </c>
      <c r="K380" s="8"/>
      <c r="L380" s="8"/>
      <c r="M380" s="15" t="e">
        <f t="shared" si="33"/>
        <v>#DIV/0!</v>
      </c>
      <c r="N380" s="8"/>
      <c r="O380" s="8"/>
      <c r="P380" s="15" t="e">
        <f t="shared" si="34"/>
        <v>#DIV/0!</v>
      </c>
      <c r="Q380" s="10"/>
      <c r="R380" s="359" t="e">
        <f t="shared" si="35"/>
        <v>#DIV/0!</v>
      </c>
      <c r="S380" s="360"/>
      <c r="T380" s="360"/>
      <c r="U380" s="377"/>
      <c r="V380" s="51" t="e">
        <f t="shared" si="36"/>
        <v>#DIV/0!</v>
      </c>
      <c r="W380" s="10"/>
      <c r="X380" s="10"/>
    </row>
    <row r="381" spans="1:24" ht="15.75" customHeight="1" x14ac:dyDescent="0.25">
      <c r="A381" s="38">
        <v>43</v>
      </c>
      <c r="B381" s="40"/>
      <c r="C381" s="26"/>
      <c r="D381" s="8"/>
      <c r="E381" s="8"/>
      <c r="F381" s="8"/>
      <c r="G381" s="8"/>
      <c r="H381" s="8"/>
      <c r="I381" s="8"/>
      <c r="J381" s="15" t="e">
        <f t="shared" si="32"/>
        <v>#DIV/0!</v>
      </c>
      <c r="K381" s="8"/>
      <c r="L381" s="8"/>
      <c r="M381" s="15" t="e">
        <f t="shared" si="33"/>
        <v>#DIV/0!</v>
      </c>
      <c r="N381" s="8"/>
      <c r="O381" s="8"/>
      <c r="P381" s="15" t="e">
        <f t="shared" si="34"/>
        <v>#DIV/0!</v>
      </c>
      <c r="Q381" s="10"/>
      <c r="R381" s="359" t="e">
        <f t="shared" si="35"/>
        <v>#DIV/0!</v>
      </c>
      <c r="S381" s="360"/>
      <c r="T381" s="360"/>
      <c r="U381" s="377"/>
      <c r="V381" s="51" t="e">
        <f t="shared" si="36"/>
        <v>#DIV/0!</v>
      </c>
      <c r="W381" s="10"/>
      <c r="X381" s="10"/>
    </row>
    <row r="382" spans="1:24" ht="15.75" customHeight="1" x14ac:dyDescent="0.25">
      <c r="A382" s="38">
        <v>44</v>
      </c>
      <c r="B382" s="40"/>
      <c r="C382" s="26"/>
      <c r="D382" s="8"/>
      <c r="E382" s="8"/>
      <c r="F382" s="8"/>
      <c r="G382" s="8"/>
      <c r="H382" s="8"/>
      <c r="I382" s="8"/>
      <c r="J382" s="15" t="e">
        <f t="shared" si="32"/>
        <v>#DIV/0!</v>
      </c>
      <c r="K382" s="8"/>
      <c r="L382" s="8"/>
      <c r="M382" s="15" t="e">
        <f t="shared" si="33"/>
        <v>#DIV/0!</v>
      </c>
      <c r="N382" s="8"/>
      <c r="O382" s="8"/>
      <c r="P382" s="15" t="e">
        <f t="shared" si="34"/>
        <v>#DIV/0!</v>
      </c>
      <c r="Q382" s="10"/>
      <c r="R382" s="359" t="e">
        <f t="shared" si="35"/>
        <v>#DIV/0!</v>
      </c>
      <c r="S382" s="360"/>
      <c r="T382" s="360"/>
      <c r="U382" s="377"/>
      <c r="V382" s="51" t="e">
        <f t="shared" si="36"/>
        <v>#DIV/0!</v>
      </c>
      <c r="W382" s="10"/>
      <c r="X382" s="10"/>
    </row>
    <row r="383" spans="1:24" ht="15.75" customHeight="1" x14ac:dyDescent="0.25">
      <c r="A383" s="38">
        <v>45</v>
      </c>
      <c r="B383" s="40"/>
      <c r="C383" s="26"/>
      <c r="D383" s="8"/>
      <c r="E383" s="8"/>
      <c r="F383" s="8"/>
      <c r="G383" s="8"/>
      <c r="H383" s="8"/>
      <c r="I383" s="8"/>
      <c r="J383" s="15" t="e">
        <f t="shared" si="32"/>
        <v>#DIV/0!</v>
      </c>
      <c r="K383" s="8"/>
      <c r="L383" s="8"/>
      <c r="M383" s="15" t="e">
        <f t="shared" si="33"/>
        <v>#DIV/0!</v>
      </c>
      <c r="N383" s="8"/>
      <c r="O383" s="8"/>
      <c r="P383" s="15" t="e">
        <f t="shared" si="34"/>
        <v>#DIV/0!</v>
      </c>
      <c r="Q383" s="10"/>
      <c r="R383" s="359" t="e">
        <f t="shared" si="35"/>
        <v>#DIV/0!</v>
      </c>
      <c r="S383" s="360"/>
      <c r="T383" s="360"/>
      <c r="U383" s="377"/>
      <c r="V383" s="51" t="e">
        <f t="shared" si="36"/>
        <v>#DIV/0!</v>
      </c>
      <c r="W383" s="10"/>
      <c r="X383" s="10"/>
    </row>
    <row r="384" spans="1:24" ht="15.75" customHeight="1" thickBot="1" x14ac:dyDescent="0.3">
      <c r="A384" s="39">
        <v>46</v>
      </c>
      <c r="B384" s="41"/>
      <c r="C384" s="54"/>
      <c r="D384" s="47"/>
      <c r="E384" s="47"/>
      <c r="F384" s="47"/>
      <c r="G384" s="47"/>
      <c r="H384" s="47"/>
      <c r="I384" s="47"/>
      <c r="J384" s="48" t="e">
        <f t="shared" si="32"/>
        <v>#DIV/0!</v>
      </c>
      <c r="K384" s="47"/>
      <c r="L384" s="47"/>
      <c r="M384" s="48" t="e">
        <f t="shared" si="33"/>
        <v>#DIV/0!</v>
      </c>
      <c r="N384" s="47"/>
      <c r="O384" s="47"/>
      <c r="P384" s="48" t="e">
        <f t="shared" si="34"/>
        <v>#DIV/0!</v>
      </c>
      <c r="Q384" s="49"/>
      <c r="R384" s="370" t="e">
        <f t="shared" si="35"/>
        <v>#DIV/0!</v>
      </c>
      <c r="S384" s="371"/>
      <c r="T384" s="371"/>
      <c r="U384" s="385"/>
      <c r="V384" s="52" t="e">
        <f t="shared" si="36"/>
        <v>#DIV/0!</v>
      </c>
      <c r="W384" s="10"/>
      <c r="X384" s="10"/>
    </row>
    <row r="385" spans="1:24" ht="15.75" customHeight="1" x14ac:dyDescent="0.25">
      <c r="A385" s="263"/>
      <c r="B385" s="375" t="s">
        <v>291</v>
      </c>
      <c r="C385" s="257"/>
      <c r="D385" s="257"/>
      <c r="E385" s="267"/>
      <c r="F385" s="270"/>
      <c r="G385" s="270"/>
      <c r="H385" s="270"/>
      <c r="I385" s="270"/>
      <c r="J385" s="272"/>
      <c r="K385" s="272"/>
      <c r="L385" s="257"/>
      <c r="M385" s="259"/>
      <c r="N385" s="259"/>
      <c r="O385" s="259"/>
      <c r="P385" s="259"/>
      <c r="Q385" s="261"/>
      <c r="R385" s="277"/>
      <c r="S385" s="278"/>
      <c r="T385" s="279"/>
      <c r="U385" s="283"/>
      <c r="V385" s="284"/>
      <c r="W385" s="255"/>
      <c r="X385" s="181"/>
    </row>
    <row r="386" spans="1:24" ht="15.75" customHeight="1" x14ac:dyDescent="0.25">
      <c r="A386" s="264"/>
      <c r="B386" s="374" t="s">
        <v>286</v>
      </c>
      <c r="C386" s="205"/>
      <c r="D386" s="205"/>
      <c r="E386" s="210"/>
      <c r="F386" s="211"/>
      <c r="G386" s="211"/>
      <c r="H386" s="211"/>
      <c r="I386" s="211"/>
      <c r="J386" s="204"/>
      <c r="K386" s="204"/>
      <c r="L386" s="205"/>
      <c r="M386" s="185"/>
      <c r="N386" s="185"/>
      <c r="O386" s="185"/>
      <c r="P386" s="185"/>
      <c r="Q386" s="187"/>
      <c r="R386" s="188"/>
      <c r="S386" s="189"/>
      <c r="T386" s="190"/>
      <c r="U386" s="194"/>
      <c r="V386" s="285"/>
      <c r="W386" s="255"/>
      <c r="X386" s="181"/>
    </row>
    <row r="387" spans="1:24" ht="15.75" customHeight="1" x14ac:dyDescent="0.25">
      <c r="A387" s="264"/>
      <c r="B387" s="183" t="s">
        <v>287</v>
      </c>
      <c r="C387" s="205"/>
      <c r="D387" s="205"/>
      <c r="E387" s="210"/>
      <c r="F387" s="211"/>
      <c r="G387" s="211"/>
      <c r="H387" s="211"/>
      <c r="I387" s="211"/>
      <c r="J387" s="204"/>
      <c r="K387" s="204"/>
      <c r="L387" s="205"/>
      <c r="M387" s="185"/>
      <c r="N387" s="185"/>
      <c r="O387" s="185"/>
      <c r="P387" s="185"/>
      <c r="Q387" s="187"/>
      <c r="R387" s="188"/>
      <c r="S387" s="189"/>
      <c r="T387" s="190"/>
      <c r="U387" s="194"/>
      <c r="V387" s="285"/>
      <c r="W387" s="255"/>
      <c r="X387" s="181"/>
    </row>
    <row r="388" spans="1:24" ht="15.75" customHeight="1" thickBot="1" x14ac:dyDescent="0.3">
      <c r="A388" s="265"/>
      <c r="B388" s="269" t="s">
        <v>288</v>
      </c>
      <c r="C388" s="258"/>
      <c r="D388" s="258"/>
      <c r="E388" s="268"/>
      <c r="F388" s="271"/>
      <c r="G388" s="271"/>
      <c r="H388" s="271"/>
      <c r="I388" s="271"/>
      <c r="J388" s="273"/>
      <c r="K388" s="273"/>
      <c r="L388" s="258"/>
      <c r="M388" s="260"/>
      <c r="N388" s="260"/>
      <c r="O388" s="260"/>
      <c r="P388" s="260"/>
      <c r="Q388" s="262"/>
      <c r="R388" s="280"/>
      <c r="S388" s="281"/>
      <c r="T388" s="282"/>
      <c r="U388" s="286"/>
      <c r="V388" s="287"/>
      <c r="W388" s="256"/>
      <c r="X388" s="182"/>
    </row>
    <row r="389" spans="1:24" ht="15.75" customHeight="1" x14ac:dyDescent="0.25"/>
    <row r="390" spans="1:24" ht="15.75" customHeight="1" x14ac:dyDescent="0.25"/>
    <row r="391" spans="1:24" ht="15.75" customHeight="1" x14ac:dyDescent="0.25"/>
    <row r="392" spans="1:24" ht="15.75" customHeight="1" x14ac:dyDescent="0.25"/>
    <row r="393" spans="1:24" ht="15.75" customHeight="1" x14ac:dyDescent="0.25"/>
    <row r="394" spans="1:24" ht="15.75" customHeight="1" x14ac:dyDescent="0.25"/>
    <row r="395" spans="1:24" ht="15.75" customHeight="1" x14ac:dyDescent="0.25"/>
    <row r="396" spans="1:24" ht="15.75" customHeight="1" x14ac:dyDescent="0.25"/>
    <row r="397" spans="1:24" ht="15.75" customHeight="1" x14ac:dyDescent="0.25"/>
    <row r="398" spans="1:24" ht="15.75" customHeight="1" x14ac:dyDescent="0.25"/>
    <row r="399" spans="1:24" ht="15.75" customHeight="1" x14ac:dyDescent="0.25"/>
    <row r="400" spans="1:24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</sheetData>
  <sheetProtection algorithmName="SHA-512" hashValue="FX9+8cS2XR97yCf7Qu5D6xbELpduT1Nc3NqRA2PN/nfGjei261VvcxilmQXqorfY2iSpmXjNFd5nDuWv2ioInw==" saltValue="EvssRBCz/CNuTeghfhObsg==" spinCount="100000" sheet="1" objects="1" scenarios="1"/>
  <mergeCells count="635">
    <mergeCell ref="W385:W388"/>
    <mergeCell ref="X385:X388"/>
    <mergeCell ref="B387:B388"/>
    <mergeCell ref="L385:L388"/>
    <mergeCell ref="M385:M388"/>
    <mergeCell ref="N385:N388"/>
    <mergeCell ref="O385:O388"/>
    <mergeCell ref="P385:P388"/>
    <mergeCell ref="Q385:Q388"/>
    <mergeCell ref="F385:F388"/>
    <mergeCell ref="G385:G388"/>
    <mergeCell ref="H385:H388"/>
    <mergeCell ref="I385:I388"/>
    <mergeCell ref="J385:J388"/>
    <mergeCell ref="K385:K388"/>
    <mergeCell ref="R380:U380"/>
    <mergeCell ref="R381:U381"/>
    <mergeCell ref="R382:U382"/>
    <mergeCell ref="R383:U383"/>
    <mergeCell ref="R384:U384"/>
    <mergeCell ref="A385:A388"/>
    <mergeCell ref="B385:B386"/>
    <mergeCell ref="C385:C388"/>
    <mergeCell ref="D385:D388"/>
    <mergeCell ref="E385:E388"/>
    <mergeCell ref="R385:T388"/>
    <mergeCell ref="U385:V388"/>
    <mergeCell ref="R374:U374"/>
    <mergeCell ref="R375:U375"/>
    <mergeCell ref="R376:U376"/>
    <mergeCell ref="R377:U377"/>
    <mergeCell ref="R378:U378"/>
    <mergeCell ref="R379:U379"/>
    <mergeCell ref="R368:U368"/>
    <mergeCell ref="R369:U369"/>
    <mergeCell ref="R370:U370"/>
    <mergeCell ref="R371:U371"/>
    <mergeCell ref="R372:U372"/>
    <mergeCell ref="R373:U373"/>
    <mergeCell ref="R362:U362"/>
    <mergeCell ref="R363:U363"/>
    <mergeCell ref="R364:U364"/>
    <mergeCell ref="R365:U365"/>
    <mergeCell ref="R366:U366"/>
    <mergeCell ref="R367:U367"/>
    <mergeCell ref="R356:U356"/>
    <mergeCell ref="R357:U357"/>
    <mergeCell ref="R358:U358"/>
    <mergeCell ref="R359:U359"/>
    <mergeCell ref="R360:U360"/>
    <mergeCell ref="R361:U361"/>
    <mergeCell ref="R350:U350"/>
    <mergeCell ref="R351:U351"/>
    <mergeCell ref="R352:U352"/>
    <mergeCell ref="R353:U353"/>
    <mergeCell ref="R354:U354"/>
    <mergeCell ref="R355:U355"/>
    <mergeCell ref="R344:U344"/>
    <mergeCell ref="R345:U345"/>
    <mergeCell ref="R346:U346"/>
    <mergeCell ref="R347:U347"/>
    <mergeCell ref="R348:U348"/>
    <mergeCell ref="R349:U349"/>
    <mergeCell ref="R339:U339"/>
    <mergeCell ref="R340:U340"/>
    <mergeCell ref="R341:U341"/>
    <mergeCell ref="R342:U342"/>
    <mergeCell ref="R343:U343"/>
    <mergeCell ref="R336:V337"/>
    <mergeCell ref="W336:X337"/>
    <mergeCell ref="C337:C338"/>
    <mergeCell ref="D337:D338"/>
    <mergeCell ref="E337:E338"/>
    <mergeCell ref="F337:F338"/>
    <mergeCell ref="G337:G338"/>
    <mergeCell ref="H337:H338"/>
    <mergeCell ref="I337:I338"/>
    <mergeCell ref="J337:J338"/>
    <mergeCell ref="A335:B335"/>
    <mergeCell ref="C335:I335"/>
    <mergeCell ref="J335:Q335"/>
    <mergeCell ref="R335:X335"/>
    <mergeCell ref="A336:A338"/>
    <mergeCell ref="B336:B338"/>
    <mergeCell ref="C336:J336"/>
    <mergeCell ref="K336:M337"/>
    <mergeCell ref="N336:P337"/>
    <mergeCell ref="Q336:Q338"/>
    <mergeCell ref="R338:U338"/>
    <mergeCell ref="W329:W332"/>
    <mergeCell ref="X329:X332"/>
    <mergeCell ref="B331:B332"/>
    <mergeCell ref="A334:P334"/>
    <mergeCell ref="Q334:X334"/>
    <mergeCell ref="L329:L332"/>
    <mergeCell ref="M329:M332"/>
    <mergeCell ref="N329:N332"/>
    <mergeCell ref="O329:O332"/>
    <mergeCell ref="P329:P332"/>
    <mergeCell ref="Q329:Q332"/>
    <mergeCell ref="F329:F332"/>
    <mergeCell ref="G329:G332"/>
    <mergeCell ref="H329:H332"/>
    <mergeCell ref="I329:I332"/>
    <mergeCell ref="J329:J332"/>
    <mergeCell ref="K329:K332"/>
    <mergeCell ref="R324:U324"/>
    <mergeCell ref="R325:U325"/>
    <mergeCell ref="R326:U326"/>
    <mergeCell ref="R327:U327"/>
    <mergeCell ref="R328:U328"/>
    <mergeCell ref="A329:A332"/>
    <mergeCell ref="B329:B330"/>
    <mergeCell ref="C329:C332"/>
    <mergeCell ref="D329:D332"/>
    <mergeCell ref="E329:E332"/>
    <mergeCell ref="R329:T332"/>
    <mergeCell ref="U329:V332"/>
    <mergeCell ref="R318:U318"/>
    <mergeCell ref="R319:U319"/>
    <mergeCell ref="R320:U320"/>
    <mergeCell ref="R321:U321"/>
    <mergeCell ref="R322:U322"/>
    <mergeCell ref="R323:U323"/>
    <mergeCell ref="R312:U312"/>
    <mergeCell ref="R313:U313"/>
    <mergeCell ref="R314:U314"/>
    <mergeCell ref="R315:U315"/>
    <mergeCell ref="R316:U316"/>
    <mergeCell ref="R317:U317"/>
    <mergeCell ref="R306:U306"/>
    <mergeCell ref="R307:U307"/>
    <mergeCell ref="R308:U308"/>
    <mergeCell ref="R309:U309"/>
    <mergeCell ref="R310:U310"/>
    <mergeCell ref="R311:U311"/>
    <mergeCell ref="R300:U300"/>
    <mergeCell ref="R301:U301"/>
    <mergeCell ref="R302:U302"/>
    <mergeCell ref="R303:U303"/>
    <mergeCell ref="R304:U304"/>
    <mergeCell ref="R305:U305"/>
    <mergeCell ref="R294:U294"/>
    <mergeCell ref="R295:U295"/>
    <mergeCell ref="R296:U296"/>
    <mergeCell ref="R297:U297"/>
    <mergeCell ref="R298:U298"/>
    <mergeCell ref="R299:U299"/>
    <mergeCell ref="R288:U288"/>
    <mergeCell ref="R289:U289"/>
    <mergeCell ref="R290:U290"/>
    <mergeCell ref="R291:U291"/>
    <mergeCell ref="R292:U292"/>
    <mergeCell ref="R293:U293"/>
    <mergeCell ref="R283:U283"/>
    <mergeCell ref="R284:U284"/>
    <mergeCell ref="R285:U285"/>
    <mergeCell ref="R286:U286"/>
    <mergeCell ref="R287:U287"/>
    <mergeCell ref="R280:V281"/>
    <mergeCell ref="W280:X281"/>
    <mergeCell ref="C281:C282"/>
    <mergeCell ref="D281:D282"/>
    <mergeCell ref="E281:E282"/>
    <mergeCell ref="F281:F282"/>
    <mergeCell ref="G281:G282"/>
    <mergeCell ref="H281:H282"/>
    <mergeCell ref="I281:I282"/>
    <mergeCell ref="J281:J282"/>
    <mergeCell ref="A279:B279"/>
    <mergeCell ref="C279:I279"/>
    <mergeCell ref="J279:Q279"/>
    <mergeCell ref="R279:X279"/>
    <mergeCell ref="A280:A282"/>
    <mergeCell ref="B280:B282"/>
    <mergeCell ref="C280:J280"/>
    <mergeCell ref="K280:M281"/>
    <mergeCell ref="N280:P281"/>
    <mergeCell ref="Q280:Q282"/>
    <mergeCell ref="R282:U282"/>
    <mergeCell ref="W273:W276"/>
    <mergeCell ref="X273:X276"/>
    <mergeCell ref="B275:B276"/>
    <mergeCell ref="A278:P278"/>
    <mergeCell ref="Q278:X278"/>
    <mergeCell ref="L273:L276"/>
    <mergeCell ref="M273:M276"/>
    <mergeCell ref="N273:N276"/>
    <mergeCell ref="O273:O276"/>
    <mergeCell ref="P273:P276"/>
    <mergeCell ref="Q273:Q276"/>
    <mergeCell ref="F273:F276"/>
    <mergeCell ref="G273:G276"/>
    <mergeCell ref="H273:H276"/>
    <mergeCell ref="I273:I276"/>
    <mergeCell ref="J273:J276"/>
    <mergeCell ref="K273:K276"/>
    <mergeCell ref="R268:U268"/>
    <mergeCell ref="R269:U269"/>
    <mergeCell ref="R270:U270"/>
    <mergeCell ref="R271:U271"/>
    <mergeCell ref="R272:U272"/>
    <mergeCell ref="A273:A276"/>
    <mergeCell ref="B273:B274"/>
    <mergeCell ref="C273:C276"/>
    <mergeCell ref="D273:D276"/>
    <mergeCell ref="E273:E276"/>
    <mergeCell ref="R273:T276"/>
    <mergeCell ref="U273:V276"/>
    <mergeCell ref="R262:U262"/>
    <mergeCell ref="R263:U263"/>
    <mergeCell ref="R264:U264"/>
    <mergeCell ref="R265:U265"/>
    <mergeCell ref="R266:U266"/>
    <mergeCell ref="R267:U267"/>
    <mergeCell ref="R256:U256"/>
    <mergeCell ref="R257:U257"/>
    <mergeCell ref="R258:U258"/>
    <mergeCell ref="R259:U259"/>
    <mergeCell ref="R260:U260"/>
    <mergeCell ref="R261:U261"/>
    <mergeCell ref="R250:U250"/>
    <mergeCell ref="R251:U251"/>
    <mergeCell ref="R252:U252"/>
    <mergeCell ref="R253:U253"/>
    <mergeCell ref="R254:U254"/>
    <mergeCell ref="R255:U255"/>
    <mergeCell ref="R244:U244"/>
    <mergeCell ref="R245:U245"/>
    <mergeCell ref="R246:U246"/>
    <mergeCell ref="R247:U247"/>
    <mergeCell ref="R248:U248"/>
    <mergeCell ref="R249:U249"/>
    <mergeCell ref="R238:U238"/>
    <mergeCell ref="R239:U239"/>
    <mergeCell ref="R240:U240"/>
    <mergeCell ref="R241:U241"/>
    <mergeCell ref="R242:U242"/>
    <mergeCell ref="R243:U243"/>
    <mergeCell ref="R232:U232"/>
    <mergeCell ref="R233:U233"/>
    <mergeCell ref="R234:U234"/>
    <mergeCell ref="R235:U235"/>
    <mergeCell ref="R236:U236"/>
    <mergeCell ref="R237:U237"/>
    <mergeCell ref="R227:U227"/>
    <mergeCell ref="R228:U228"/>
    <mergeCell ref="R229:U229"/>
    <mergeCell ref="R230:U230"/>
    <mergeCell ref="R231:U231"/>
    <mergeCell ref="R224:V225"/>
    <mergeCell ref="W224:X225"/>
    <mergeCell ref="C225:C226"/>
    <mergeCell ref="D225:D226"/>
    <mergeCell ref="E225:E226"/>
    <mergeCell ref="F225:F226"/>
    <mergeCell ref="G225:G226"/>
    <mergeCell ref="H225:H226"/>
    <mergeCell ref="I225:I226"/>
    <mergeCell ref="J225:J226"/>
    <mergeCell ref="A223:B223"/>
    <mergeCell ref="C223:I223"/>
    <mergeCell ref="J223:Q223"/>
    <mergeCell ref="R223:X223"/>
    <mergeCell ref="A224:A226"/>
    <mergeCell ref="B224:B226"/>
    <mergeCell ref="C224:J224"/>
    <mergeCell ref="K224:M225"/>
    <mergeCell ref="N224:P225"/>
    <mergeCell ref="Q224:Q226"/>
    <mergeCell ref="R226:U226"/>
    <mergeCell ref="W217:W220"/>
    <mergeCell ref="X217:X220"/>
    <mergeCell ref="B219:B220"/>
    <mergeCell ref="A222:P222"/>
    <mergeCell ref="Q222:X222"/>
    <mergeCell ref="L217:L220"/>
    <mergeCell ref="M217:M220"/>
    <mergeCell ref="N217:N220"/>
    <mergeCell ref="O217:O220"/>
    <mergeCell ref="P217:P220"/>
    <mergeCell ref="Q217:Q220"/>
    <mergeCell ref="F217:F220"/>
    <mergeCell ref="G217:G220"/>
    <mergeCell ref="H217:H220"/>
    <mergeCell ref="I217:I220"/>
    <mergeCell ref="J217:J220"/>
    <mergeCell ref="K217:K220"/>
    <mergeCell ref="R212:U212"/>
    <mergeCell ref="R213:U213"/>
    <mergeCell ref="R214:U214"/>
    <mergeCell ref="R215:U215"/>
    <mergeCell ref="R216:U216"/>
    <mergeCell ref="A217:A220"/>
    <mergeCell ref="B217:B218"/>
    <mergeCell ref="C217:C220"/>
    <mergeCell ref="D217:D220"/>
    <mergeCell ref="E217:E220"/>
    <mergeCell ref="R217:T220"/>
    <mergeCell ref="U217:V220"/>
    <mergeCell ref="R206:U206"/>
    <mergeCell ref="R207:U207"/>
    <mergeCell ref="R208:U208"/>
    <mergeCell ref="R209:U209"/>
    <mergeCell ref="R210:U210"/>
    <mergeCell ref="R211:U211"/>
    <mergeCell ref="R200:U200"/>
    <mergeCell ref="R201:U201"/>
    <mergeCell ref="R202:U202"/>
    <mergeCell ref="R203:U203"/>
    <mergeCell ref="R204:U204"/>
    <mergeCell ref="R205:U205"/>
    <mergeCell ref="R194:U194"/>
    <mergeCell ref="R195:U195"/>
    <mergeCell ref="R196:U196"/>
    <mergeCell ref="R197:U197"/>
    <mergeCell ref="R198:U198"/>
    <mergeCell ref="R199:U199"/>
    <mergeCell ref="R188:U188"/>
    <mergeCell ref="R189:U189"/>
    <mergeCell ref="R190:U190"/>
    <mergeCell ref="R191:U191"/>
    <mergeCell ref="R192:U192"/>
    <mergeCell ref="R193:U193"/>
    <mergeCell ref="R182:U182"/>
    <mergeCell ref="R183:U183"/>
    <mergeCell ref="R184:U184"/>
    <mergeCell ref="R185:U185"/>
    <mergeCell ref="R186:U186"/>
    <mergeCell ref="R187:U187"/>
    <mergeCell ref="R176:U176"/>
    <mergeCell ref="R177:U177"/>
    <mergeCell ref="R178:U178"/>
    <mergeCell ref="R179:U179"/>
    <mergeCell ref="R180:U180"/>
    <mergeCell ref="R181:U181"/>
    <mergeCell ref="R171:U171"/>
    <mergeCell ref="R172:U172"/>
    <mergeCell ref="R173:U173"/>
    <mergeCell ref="R174:U174"/>
    <mergeCell ref="R175:U175"/>
    <mergeCell ref="R168:V169"/>
    <mergeCell ref="W168:X169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A167:B167"/>
    <mergeCell ref="C167:I167"/>
    <mergeCell ref="J167:Q167"/>
    <mergeCell ref="R167:X167"/>
    <mergeCell ref="A168:A170"/>
    <mergeCell ref="B168:B170"/>
    <mergeCell ref="C168:J168"/>
    <mergeCell ref="K168:M169"/>
    <mergeCell ref="N168:P169"/>
    <mergeCell ref="Q168:Q170"/>
    <mergeCell ref="R170:U170"/>
    <mergeCell ref="W159:W162"/>
    <mergeCell ref="X159:X162"/>
    <mergeCell ref="B161:B162"/>
    <mergeCell ref="A166:P166"/>
    <mergeCell ref="Q166:X166"/>
    <mergeCell ref="L159:L162"/>
    <mergeCell ref="M159:M162"/>
    <mergeCell ref="N159:N162"/>
    <mergeCell ref="O159:O162"/>
    <mergeCell ref="P159:P162"/>
    <mergeCell ref="Q159:Q162"/>
    <mergeCell ref="F159:F162"/>
    <mergeCell ref="G159:G162"/>
    <mergeCell ref="H159:H162"/>
    <mergeCell ref="I159:I162"/>
    <mergeCell ref="J159:J162"/>
    <mergeCell ref="K159:K162"/>
    <mergeCell ref="R154:U154"/>
    <mergeCell ref="R155:U155"/>
    <mergeCell ref="R156:U156"/>
    <mergeCell ref="R157:U157"/>
    <mergeCell ref="R158:U158"/>
    <mergeCell ref="A159:A162"/>
    <mergeCell ref="B159:B160"/>
    <mergeCell ref="C159:C162"/>
    <mergeCell ref="D159:D162"/>
    <mergeCell ref="E159:E162"/>
    <mergeCell ref="R159:T162"/>
    <mergeCell ref="U159:V162"/>
    <mergeCell ref="R148:U148"/>
    <mergeCell ref="R149:U149"/>
    <mergeCell ref="R150:U150"/>
    <mergeCell ref="R151:U151"/>
    <mergeCell ref="R152:U152"/>
    <mergeCell ref="R153:U153"/>
    <mergeCell ref="R142:U142"/>
    <mergeCell ref="R143:U143"/>
    <mergeCell ref="R144:U144"/>
    <mergeCell ref="R145:U145"/>
    <mergeCell ref="R146:U146"/>
    <mergeCell ref="R147:U147"/>
    <mergeCell ref="R136:U136"/>
    <mergeCell ref="R137:U137"/>
    <mergeCell ref="R138:U138"/>
    <mergeCell ref="R139:U139"/>
    <mergeCell ref="R140:U140"/>
    <mergeCell ref="R141:U141"/>
    <mergeCell ref="R130:U130"/>
    <mergeCell ref="R131:U131"/>
    <mergeCell ref="R132:U132"/>
    <mergeCell ref="R133:U133"/>
    <mergeCell ref="R134:U134"/>
    <mergeCell ref="R135:U135"/>
    <mergeCell ref="R124:U124"/>
    <mergeCell ref="R125:U125"/>
    <mergeCell ref="R126:U126"/>
    <mergeCell ref="R127:U127"/>
    <mergeCell ref="R128:U128"/>
    <mergeCell ref="R129:U129"/>
    <mergeCell ref="R118:U118"/>
    <mergeCell ref="R119:U119"/>
    <mergeCell ref="R120:U120"/>
    <mergeCell ref="R121:U121"/>
    <mergeCell ref="R122:U122"/>
    <mergeCell ref="R123:U123"/>
    <mergeCell ref="R113:U113"/>
    <mergeCell ref="R114:U114"/>
    <mergeCell ref="R115:U115"/>
    <mergeCell ref="R116:U116"/>
    <mergeCell ref="R117:U117"/>
    <mergeCell ref="R110:V111"/>
    <mergeCell ref="W110:X111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A109:B109"/>
    <mergeCell ref="C109:I109"/>
    <mergeCell ref="J109:Q109"/>
    <mergeCell ref="R109:X109"/>
    <mergeCell ref="A110:A112"/>
    <mergeCell ref="B110:B112"/>
    <mergeCell ref="C110:J110"/>
    <mergeCell ref="K110:M111"/>
    <mergeCell ref="N110:P111"/>
    <mergeCell ref="Q110:Q112"/>
    <mergeCell ref="R112:U112"/>
    <mergeCell ref="W104:W107"/>
    <mergeCell ref="X104:X107"/>
    <mergeCell ref="B106:B107"/>
    <mergeCell ref="A108:P108"/>
    <mergeCell ref="Q108:X108"/>
    <mergeCell ref="L104:L107"/>
    <mergeCell ref="M104:M107"/>
    <mergeCell ref="N104:N107"/>
    <mergeCell ref="O104:O107"/>
    <mergeCell ref="P104:P107"/>
    <mergeCell ref="Q104:Q107"/>
    <mergeCell ref="F104:F107"/>
    <mergeCell ref="G104:G107"/>
    <mergeCell ref="H104:H107"/>
    <mergeCell ref="I104:I107"/>
    <mergeCell ref="J104:J107"/>
    <mergeCell ref="K104:K107"/>
    <mergeCell ref="R99:U99"/>
    <mergeCell ref="R100:U100"/>
    <mergeCell ref="R101:U101"/>
    <mergeCell ref="R102:U102"/>
    <mergeCell ref="R103:U103"/>
    <mergeCell ref="A104:A107"/>
    <mergeCell ref="B104:B105"/>
    <mergeCell ref="C104:C107"/>
    <mergeCell ref="D104:D107"/>
    <mergeCell ref="E104:E107"/>
    <mergeCell ref="R104:T107"/>
    <mergeCell ref="U104:V107"/>
    <mergeCell ref="R93:U93"/>
    <mergeCell ref="R94:U94"/>
    <mergeCell ref="R95:U95"/>
    <mergeCell ref="R96:U96"/>
    <mergeCell ref="R97:U97"/>
    <mergeCell ref="R98:U98"/>
    <mergeCell ref="R87:U87"/>
    <mergeCell ref="R88:U88"/>
    <mergeCell ref="R89:U89"/>
    <mergeCell ref="R90:U90"/>
    <mergeCell ref="R91:U91"/>
    <mergeCell ref="R92:U92"/>
    <mergeCell ref="R81:U81"/>
    <mergeCell ref="R82:U82"/>
    <mergeCell ref="R83:U83"/>
    <mergeCell ref="R84:U84"/>
    <mergeCell ref="R85:U85"/>
    <mergeCell ref="R86:U86"/>
    <mergeCell ref="R75:U75"/>
    <mergeCell ref="R76:U76"/>
    <mergeCell ref="R77:U77"/>
    <mergeCell ref="R78:U78"/>
    <mergeCell ref="R79:U79"/>
    <mergeCell ref="R80:U80"/>
    <mergeCell ref="R69:U69"/>
    <mergeCell ref="R70:U70"/>
    <mergeCell ref="R71:U71"/>
    <mergeCell ref="R72:U72"/>
    <mergeCell ref="R73:U73"/>
    <mergeCell ref="R74:U74"/>
    <mergeCell ref="R63:U63"/>
    <mergeCell ref="R64:U64"/>
    <mergeCell ref="R65:U65"/>
    <mergeCell ref="R66:U66"/>
    <mergeCell ref="R67:U67"/>
    <mergeCell ref="R68:U68"/>
    <mergeCell ref="R58:U58"/>
    <mergeCell ref="R59:U59"/>
    <mergeCell ref="R60:U60"/>
    <mergeCell ref="R61:U61"/>
    <mergeCell ref="R62:U62"/>
    <mergeCell ref="R55:V56"/>
    <mergeCell ref="W55:X56"/>
    <mergeCell ref="C56:C57"/>
    <mergeCell ref="D56:D57"/>
    <mergeCell ref="E56:E57"/>
    <mergeCell ref="F56:F57"/>
    <mergeCell ref="G56:G57"/>
    <mergeCell ref="H56:H57"/>
    <mergeCell ref="I56:I57"/>
    <mergeCell ref="J56:J57"/>
    <mergeCell ref="A54:B54"/>
    <mergeCell ref="C54:I54"/>
    <mergeCell ref="J54:Q54"/>
    <mergeCell ref="R54:X54"/>
    <mergeCell ref="A55:A57"/>
    <mergeCell ref="B55:B57"/>
    <mergeCell ref="C55:J55"/>
    <mergeCell ref="K55:M56"/>
    <mergeCell ref="N55:P56"/>
    <mergeCell ref="Q55:Q57"/>
    <mergeCell ref="R57:U57"/>
    <mergeCell ref="W51:W52"/>
    <mergeCell ref="X51:X52"/>
    <mergeCell ref="B51:B52"/>
    <mergeCell ref="A53:P53"/>
    <mergeCell ref="Q53:X53"/>
    <mergeCell ref="L51:L52"/>
    <mergeCell ref="M51:M52"/>
    <mergeCell ref="N51:N52"/>
    <mergeCell ref="O51:O52"/>
    <mergeCell ref="P51:P52"/>
    <mergeCell ref="Q51:Q52"/>
    <mergeCell ref="F51:F52"/>
    <mergeCell ref="G51:G52"/>
    <mergeCell ref="H51:H52"/>
    <mergeCell ref="I51:I52"/>
    <mergeCell ref="J51:J52"/>
    <mergeCell ref="K51:K52"/>
    <mergeCell ref="R47:U47"/>
    <mergeCell ref="R48:U48"/>
    <mergeCell ref="R49:U49"/>
    <mergeCell ref="R50:U50"/>
    <mergeCell ref="A51:A52"/>
    <mergeCell ref="C51:C52"/>
    <mergeCell ref="D51:D52"/>
    <mergeCell ref="E51:E52"/>
    <mergeCell ref="R51:T52"/>
    <mergeCell ref="U51:V52"/>
    <mergeCell ref="R41:U41"/>
    <mergeCell ref="R42:U42"/>
    <mergeCell ref="R43:U43"/>
    <mergeCell ref="R44:U44"/>
    <mergeCell ref="R45:U45"/>
    <mergeCell ref="R46:U46"/>
    <mergeCell ref="R35:U35"/>
    <mergeCell ref="R36:U36"/>
    <mergeCell ref="R37:U37"/>
    <mergeCell ref="R38:U38"/>
    <mergeCell ref="R39:U39"/>
    <mergeCell ref="R40:U40"/>
    <mergeCell ref="R29:U29"/>
    <mergeCell ref="R30:U30"/>
    <mergeCell ref="R31:U31"/>
    <mergeCell ref="R32:U32"/>
    <mergeCell ref="R33:U33"/>
    <mergeCell ref="R34:U34"/>
    <mergeCell ref="R23:U23"/>
    <mergeCell ref="R24:U24"/>
    <mergeCell ref="R25:U25"/>
    <mergeCell ref="R26:U26"/>
    <mergeCell ref="R27:U27"/>
    <mergeCell ref="R28:U28"/>
    <mergeCell ref="R17:U17"/>
    <mergeCell ref="R18:U18"/>
    <mergeCell ref="R19:U19"/>
    <mergeCell ref="R20:U20"/>
    <mergeCell ref="R21:U21"/>
    <mergeCell ref="R22:U22"/>
    <mergeCell ref="R11:U11"/>
    <mergeCell ref="R12:U12"/>
    <mergeCell ref="R13:U13"/>
    <mergeCell ref="R14:U14"/>
    <mergeCell ref="R15:U15"/>
    <mergeCell ref="R16:U16"/>
    <mergeCell ref="R6:U6"/>
    <mergeCell ref="R7:U7"/>
    <mergeCell ref="R8:U8"/>
    <mergeCell ref="R9:U9"/>
    <mergeCell ref="R10:U10"/>
    <mergeCell ref="R3:V4"/>
    <mergeCell ref="W3:X4"/>
    <mergeCell ref="C4:C5"/>
    <mergeCell ref="D4:D5"/>
    <mergeCell ref="E4:E5"/>
    <mergeCell ref="F4:F5"/>
    <mergeCell ref="G4:G5"/>
    <mergeCell ref="H4:H5"/>
    <mergeCell ref="I4:I5"/>
    <mergeCell ref="J4:J5"/>
    <mergeCell ref="A3:A5"/>
    <mergeCell ref="B3:B5"/>
    <mergeCell ref="C3:J3"/>
    <mergeCell ref="K3:M4"/>
    <mergeCell ref="N3:P4"/>
    <mergeCell ref="Q3:Q5"/>
    <mergeCell ref="A1:P1"/>
    <mergeCell ref="Q1:X1"/>
    <mergeCell ref="A2:B2"/>
    <mergeCell ref="C2:I2"/>
    <mergeCell ref="J2:Q2"/>
    <mergeCell ref="R2:X2"/>
    <mergeCell ref="R5:U5"/>
  </mergeCells>
  <conditionalFormatting sqref="B113:B153">
    <cfRule type="containsText" priority="2" operator="containsText" text="ARZUAGA MENDOZA KAREN TATIANA">
      <formula>NOT(ISERROR(SEARCH("ARZUAGA MENDOZA KAREN TATIANA",B113)))</formula>
    </cfRule>
  </conditionalFormatting>
  <conditionalFormatting sqref="B155">
    <cfRule type="containsText" priority="46" operator="containsText" text="ARZUAGA MENDOZA KAREN TATIANA">
      <formula>NOT(ISERROR(SEARCH("ARZUAGA MENDOZA KAREN TATIANA",B155)))</formula>
    </cfRule>
  </conditionalFormatting>
  <conditionalFormatting sqref="B314:B318">
    <cfRule type="containsText" priority="1" operator="containsText" text="ARZUAGA MENDOZA KAREN TATIANA">
      <formula>NOT(ISERROR(SEARCH("ARZUAGA MENDOZA KAREN TATIANA",B314)))</formula>
    </cfRule>
  </conditionalFormatting>
  <conditionalFormatting sqref="J6:J50">
    <cfRule type="cellIs" dxfId="34" priority="41" operator="lessThan">
      <formula>65</formula>
    </cfRule>
    <cfRule type="cellIs" dxfId="33" priority="42" operator="greaterThan">
      <formula>64</formula>
    </cfRule>
  </conditionalFormatting>
  <conditionalFormatting sqref="J58:J103">
    <cfRule type="cellIs" dxfId="32" priority="36" operator="lessThan">
      <formula>65</formula>
    </cfRule>
    <cfRule type="cellIs" dxfId="31" priority="37" operator="greaterThan">
      <formula>64</formula>
    </cfRule>
  </conditionalFormatting>
  <conditionalFormatting sqref="J113:J158">
    <cfRule type="cellIs" dxfId="30" priority="32" operator="greaterThan">
      <formula>64</formula>
    </cfRule>
    <cfRule type="cellIs" dxfId="29" priority="31" operator="lessThan">
      <formula>65</formula>
    </cfRule>
  </conditionalFormatting>
  <conditionalFormatting sqref="J171:J216">
    <cfRule type="cellIs" dxfId="28" priority="26" operator="lessThan">
      <formula>65</formula>
    </cfRule>
    <cfRule type="cellIs" dxfId="27" priority="27" operator="greaterThan">
      <formula>64</formula>
    </cfRule>
  </conditionalFormatting>
  <conditionalFormatting sqref="J227:J272">
    <cfRule type="cellIs" dxfId="26" priority="21" operator="lessThan">
      <formula>65</formula>
    </cfRule>
    <cfRule type="cellIs" dxfId="25" priority="22" operator="greaterThan">
      <formula>64</formula>
    </cfRule>
  </conditionalFormatting>
  <conditionalFormatting sqref="J283:J328">
    <cfRule type="cellIs" dxfId="24" priority="16" operator="lessThan">
      <formula>65</formula>
    </cfRule>
    <cfRule type="cellIs" dxfId="23" priority="17" operator="greaterThan">
      <formula>64</formula>
    </cfRule>
  </conditionalFormatting>
  <conditionalFormatting sqref="J339:J384">
    <cfRule type="cellIs" dxfId="22" priority="11" operator="lessThan">
      <formula>65</formula>
    </cfRule>
    <cfRule type="cellIs" dxfId="21" priority="12" operator="greaterThan">
      <formula>64</formula>
    </cfRule>
  </conditionalFormatting>
  <conditionalFormatting sqref="M6:M50 P6:P50">
    <cfRule type="cellIs" dxfId="20" priority="45" operator="between">
      <formula>0</formula>
      <formula>100</formula>
    </cfRule>
  </conditionalFormatting>
  <conditionalFormatting sqref="M58:M103 P58:P103">
    <cfRule type="cellIs" dxfId="19" priority="40" operator="between">
      <formula>0</formula>
      <formula>100</formula>
    </cfRule>
  </conditionalFormatting>
  <conditionalFormatting sqref="M113:M158 P113:P158">
    <cfRule type="cellIs" dxfId="18" priority="35" operator="between">
      <formula>0</formula>
      <formula>100</formula>
    </cfRule>
  </conditionalFormatting>
  <conditionalFormatting sqref="M171:M216 P171:P216">
    <cfRule type="cellIs" dxfId="17" priority="30" operator="between">
      <formula>0</formula>
      <formula>100</formula>
    </cfRule>
  </conditionalFormatting>
  <conditionalFormatting sqref="M227:M272 P227:P272">
    <cfRule type="cellIs" dxfId="16" priority="25" operator="between">
      <formula>0</formula>
      <formula>100</formula>
    </cfRule>
  </conditionalFormatting>
  <conditionalFormatting sqref="M283:M328 P283:P328">
    <cfRule type="cellIs" dxfId="15" priority="20" operator="between">
      <formula>0</formula>
      <formula>100</formula>
    </cfRule>
  </conditionalFormatting>
  <conditionalFormatting sqref="M339:M384 P339:P384">
    <cfRule type="cellIs" dxfId="14" priority="15" operator="between">
      <formula>0</formula>
      <formula>100</formula>
    </cfRule>
  </conditionalFormatting>
  <conditionalFormatting sqref="V6:V50">
    <cfRule type="cellIs" dxfId="13" priority="43" operator="between">
      <formula>65</formula>
      <formula>100</formula>
    </cfRule>
    <cfRule type="cellIs" dxfId="12" priority="44" operator="lessThan">
      <formula>65</formula>
    </cfRule>
  </conditionalFormatting>
  <conditionalFormatting sqref="V58:V103">
    <cfRule type="cellIs" dxfId="11" priority="38" operator="between">
      <formula>65</formula>
      <formula>100</formula>
    </cfRule>
    <cfRule type="cellIs" dxfId="10" priority="39" operator="lessThan">
      <formula>65</formula>
    </cfRule>
  </conditionalFormatting>
  <conditionalFormatting sqref="V113:V158">
    <cfRule type="cellIs" dxfId="9" priority="34" operator="lessThan">
      <formula>65</formula>
    </cfRule>
    <cfRule type="cellIs" dxfId="8" priority="33" operator="between">
      <formula>65</formula>
      <formula>100</formula>
    </cfRule>
  </conditionalFormatting>
  <conditionalFormatting sqref="V171:V216">
    <cfRule type="cellIs" dxfId="7" priority="29" operator="lessThan">
      <formula>65</formula>
    </cfRule>
    <cfRule type="cellIs" dxfId="6" priority="28" operator="between">
      <formula>65</formula>
      <formula>100</formula>
    </cfRule>
  </conditionalFormatting>
  <conditionalFormatting sqref="V227:V272">
    <cfRule type="cellIs" dxfId="5" priority="24" operator="lessThan">
      <formula>65</formula>
    </cfRule>
    <cfRule type="cellIs" dxfId="4" priority="23" operator="between">
      <formula>65</formula>
      <formula>100</formula>
    </cfRule>
  </conditionalFormatting>
  <conditionalFormatting sqref="V283:V328">
    <cfRule type="cellIs" dxfId="3" priority="19" operator="lessThan">
      <formula>65</formula>
    </cfRule>
    <cfRule type="cellIs" dxfId="2" priority="18" operator="between">
      <formula>65</formula>
      <formula>100</formula>
    </cfRule>
  </conditionalFormatting>
  <conditionalFormatting sqref="V339:V384">
    <cfRule type="cellIs" dxfId="1" priority="13" operator="between">
      <formula>65</formula>
      <formula>100</formula>
    </cfRule>
    <cfRule type="cellIs" dxfId="0" priority="14" operator="lessThan">
      <formula>65</formula>
    </cfRule>
  </conditionalFormatting>
  <pageMargins left="0.7" right="0.7" top="0.75" bottom="0.75" header="0" footer="0"/>
  <pageSetup paperSize="5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11°</vt:lpstr>
      <vt:lpstr>10°</vt:lpstr>
      <vt:lpstr>9°</vt:lpstr>
      <vt:lpstr>8°</vt:lpstr>
      <vt:lpstr>7°</vt:lpstr>
      <vt:lpstr>6°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Niver</dc:creator>
  <cp:lastModifiedBy>Nefi Lehi Cespedes Porto</cp:lastModifiedBy>
  <cp:lastPrinted>2024-02-01T18:23:33Z</cp:lastPrinted>
  <dcterms:created xsi:type="dcterms:W3CDTF">2019-01-31T16:14:35Z</dcterms:created>
  <dcterms:modified xsi:type="dcterms:W3CDTF">2025-11-20T21:35:26Z</dcterms:modified>
</cp:coreProperties>
</file>